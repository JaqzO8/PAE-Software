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PAE-Software\outputs\estimacion-pae-20261010\"/>
    </mc:Choice>
  </mc:AlternateContent>
  <xr:revisionPtr revIDLastSave="0" documentId="13_ncr:1_{EAEF988B-69F4-4432-A4EA-D6C5D76741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stimación PERT" sheetId="1" r:id="rId1"/>
    <sheet name="Supuest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I40" i="1"/>
  <c r="H40" i="1"/>
  <c r="I39" i="1"/>
  <c r="H39" i="1"/>
  <c r="H38" i="1" s="1"/>
  <c r="G38" i="1"/>
  <c r="F38" i="1"/>
  <c r="E38" i="1"/>
  <c r="I37" i="1"/>
  <c r="H37" i="1"/>
  <c r="I36" i="1"/>
  <c r="H36" i="1"/>
  <c r="H35" i="1" s="1"/>
  <c r="I35" i="1"/>
  <c r="G35" i="1"/>
  <c r="F35" i="1"/>
  <c r="E35" i="1"/>
  <c r="I34" i="1"/>
  <c r="H34" i="1"/>
  <c r="I33" i="1"/>
  <c r="H33" i="1"/>
  <c r="H32" i="1" s="1"/>
  <c r="I32" i="1"/>
  <c r="G32" i="1"/>
  <c r="F32" i="1"/>
  <c r="E32" i="1"/>
  <c r="I31" i="1"/>
  <c r="H31" i="1"/>
  <c r="I30" i="1"/>
  <c r="H30" i="1"/>
  <c r="I29" i="1"/>
  <c r="H29" i="1"/>
  <c r="G29" i="1"/>
  <c r="F29" i="1"/>
  <c r="E29" i="1"/>
  <c r="E28" i="1" s="1"/>
  <c r="I27" i="1"/>
  <c r="H27" i="1"/>
  <c r="I26" i="1"/>
  <c r="H26" i="1"/>
  <c r="H25" i="1" s="1"/>
  <c r="I25" i="1"/>
  <c r="G25" i="1"/>
  <c r="F25" i="1"/>
  <c r="E25" i="1"/>
  <c r="E18" i="1" s="1"/>
  <c r="I24" i="1"/>
  <c r="H24" i="1"/>
  <c r="H22" i="1" s="1"/>
  <c r="H18" i="1" s="1"/>
  <c r="I23" i="1"/>
  <c r="I22" i="1" s="1"/>
  <c r="I18" i="1" s="1"/>
  <c r="H23" i="1"/>
  <c r="G22" i="1"/>
  <c r="F22" i="1"/>
  <c r="E22" i="1"/>
  <c r="I21" i="1"/>
  <c r="H21" i="1"/>
  <c r="I20" i="1"/>
  <c r="I19" i="1" s="1"/>
  <c r="H20" i="1"/>
  <c r="H19" i="1" s="1"/>
  <c r="G19" i="1"/>
  <c r="F19" i="1"/>
  <c r="E19" i="1"/>
  <c r="G18" i="1"/>
  <c r="F18" i="1"/>
  <c r="I17" i="1"/>
  <c r="H17" i="1"/>
  <c r="I16" i="1"/>
  <c r="H16" i="1"/>
  <c r="H15" i="1" s="1"/>
  <c r="G15" i="1"/>
  <c r="F15" i="1"/>
  <c r="E15" i="1"/>
  <c r="I14" i="1"/>
  <c r="H14" i="1"/>
  <c r="H12" i="1" s="1"/>
  <c r="I13" i="1"/>
  <c r="H13" i="1"/>
  <c r="G12" i="1"/>
  <c r="F12" i="1"/>
  <c r="F8" i="1" s="1"/>
  <c r="E12" i="1"/>
  <c r="E8" i="1" s="1"/>
  <c r="E41" i="1" s="1"/>
  <c r="I11" i="1"/>
  <c r="H11" i="1"/>
  <c r="I10" i="1"/>
  <c r="H10" i="1"/>
  <c r="H9" i="1" s="1"/>
  <c r="H8" i="1" s="1"/>
  <c r="I9" i="1"/>
  <c r="G9" i="1"/>
  <c r="F9" i="1"/>
  <c r="E9" i="1"/>
  <c r="I38" i="1" l="1"/>
  <c r="G28" i="1"/>
  <c r="F28" i="1"/>
  <c r="F41" i="1" s="1"/>
  <c r="I28" i="1"/>
  <c r="H28" i="1"/>
  <c r="H41" i="1" s="1"/>
  <c r="I12" i="1"/>
  <c r="I8" i="1" s="1"/>
  <c r="I41" i="1" s="1"/>
  <c r="I15" i="1"/>
  <c r="G8" i="1"/>
  <c r="G41" i="1" l="1"/>
</calcChain>
</file>

<file path=xl/sharedStrings.xml><?xml version="1.0" encoding="utf-8"?>
<sst xmlns="http://schemas.openxmlformats.org/spreadsheetml/2006/main" count="250" uniqueCount="197">
  <si>
    <t>PAE - Estimación PERT de planificación de estudio</t>
  </si>
  <si>
    <t>Nivel</t>
  </si>
  <si>
    <t>ID</t>
  </si>
  <si>
    <t>Requisito / tarea / subtarea</t>
  </si>
  <si>
    <t>Criterio de terminado</t>
  </si>
  <si>
    <t>Optimista</t>
  </si>
  <si>
    <t>Más probable</t>
  </si>
  <si>
    <t>Pesimista</t>
  </si>
  <si>
    <t>Esperado</t>
  </si>
  <si>
    <t>Dispersión (σ)</t>
  </si>
  <si>
    <t>Experiencia propia (estimación)</t>
  </si>
  <si>
    <t>Dependencia</t>
  </si>
  <si>
    <t>Requisito</t>
  </si>
  <si>
    <t>RQ48</t>
  </si>
  <si>
    <t>Recordatorios automáticos de estudio</t>
  </si>
  <si>
    <t>El estudiante recibe el recordatorio a la hora configurada y puede posponerlo o desactivarlo.</t>
  </si>
  <si>
    <t>Agregado de tareas</t>
  </si>
  <si>
    <t>Preferencias de estudio</t>
  </si>
  <si>
    <t>Tarea</t>
  </si>
  <si>
    <t>P1</t>
  </si>
  <si>
    <t>Task P1 - Definir el comportamiento de los recordatorios</t>
  </si>
  <si>
    <t>El contrato documenta estados, adelanto, posposición y desactivación sin ambigüedades.</t>
  </si>
  <si>
    <t>Agregado de subtareas</t>
  </si>
  <si>
    <t>RQ48 - Recordatorios automáticos</t>
  </si>
  <si>
    <t>Subtarea</t>
  </si>
  <si>
    <t>P1.1</t>
  </si>
  <si>
    <t>Subtask P1.1 - Acordar eventos y estados del recordatorio</t>
  </si>
  <si>
    <t>La matriz de estados cubre pendiente, completado, omitido y pospuesto.</t>
  </si>
  <si>
    <t>Juicio técnico: estados existentes</t>
  </si>
  <si>
    <t>P1.2</t>
  </si>
  <si>
    <t>Subtask P1.2 - Especificar reglas de posponer y desactivar</t>
  </si>
  <si>
    <t>Los límites y respuestas HTTP quedan definidos con ejemplos verificables.</t>
  </si>
  <si>
    <t>Analogía: actualización de estado</t>
  </si>
  <si>
    <t>Eventos del recordatorio</t>
  </si>
  <si>
    <t>P2</t>
  </si>
  <si>
    <t>Task P2 - Programar y entregar recordatorios internos</t>
  </si>
  <si>
    <t>El sistema genera una sola notificación por horario y conserva la próxima ejecución.</t>
  </si>
  <si>
    <t>Comportamiento de los recordatorios</t>
  </si>
  <si>
    <t>P2.1</t>
  </si>
  <si>
    <t>Subtask P2.1 - Implementar generación idempotente por horario</t>
  </si>
  <si>
    <t>Dos ejecuciones consecutivas no crean recordatorios duplicados.</t>
  </si>
  <si>
    <t>Analogía: generateReminders existente</t>
  </si>
  <si>
    <t>Reglas de posposición</t>
  </si>
  <si>
    <t>P2.2</t>
  </si>
  <si>
    <t>Subtask P2.2 - Registrar entrega y próxima ejecución</t>
  </si>
  <si>
    <t>Cada entrega guarda fecha, resultado y próxima programación consultable.</t>
  </si>
  <si>
    <t>Juicio técnico: persistencia Sequelize</t>
  </si>
  <si>
    <t>Generación idempotente</t>
  </si>
  <si>
    <t>P3</t>
  </si>
  <si>
    <t>Task P3 - Verificar recordatorios de extremo a extremo</t>
  </si>
  <si>
    <t>Los escenarios de entrega, posposición, desactivación y duplicado pasan automáticamente.</t>
  </si>
  <si>
    <t>Programación de recordatorios internos</t>
  </si>
  <si>
    <t>P3.1</t>
  </si>
  <si>
    <t>Subtask P3.1 - Crear pruebas de servicio y rutas</t>
  </si>
  <si>
    <t>Las pruebas cubren horario válido, usuario ajeno, duplicado y recordatorio desactivado.</t>
  </si>
  <si>
    <t>Analogía: pruebas de controladores PAE</t>
  </si>
  <si>
    <t>Registro de entrega</t>
  </si>
  <si>
    <t>P3.2</t>
  </si>
  <si>
    <t>Subtask P3.2 - Ejecutar flujo completo desde Planificación</t>
  </si>
  <si>
    <t>El estudiante configura, recibe, pospone y desactiva un recordatorio sin errores.</t>
  </si>
  <si>
    <t>Juicio técnico: flujo integrado</t>
  </si>
  <si>
    <t>Pruebas de servicio y rutas</t>
  </si>
  <si>
    <t>RQ54</t>
  </si>
  <si>
    <t>Horarios sugeridos y tiempo de uso sano</t>
  </si>
  <si>
    <t>El estudiante guarda su disponibilidad y recibe sugerencias que respetan horario, materias y límites diarios.</t>
  </si>
  <si>
    <t>P4</t>
  </si>
  <si>
    <t>Task P4 - Validar disponibilidad y preferencias</t>
  </si>
  <si>
    <t>El sistema rechaza rangos inválidos y guarda días, horas, materias y opción de recordatorios.</t>
  </si>
  <si>
    <t>RQ54 - Horarios sugeridos</t>
  </si>
  <si>
    <t>P4.1</t>
  </si>
  <si>
    <t>Subtask P4.1 - Validar hora inicial, hora final y días</t>
  </si>
  <si>
    <t>No se guarda una franja vacía, invertida o fuera del formato HH:mm.</t>
  </si>
  <si>
    <t>Analogía: normalizeTime y normalizeDays</t>
  </si>
  <si>
    <t>P4.2</t>
  </si>
  <si>
    <t>Subtask P4.2 - Normalizar materias y límites editables</t>
  </si>
  <si>
    <t>Las materias quedan limpias y los límites permanecen dentro del rango configurado.</t>
  </si>
  <si>
    <t>Analogía: clampInteger existente</t>
  </si>
  <si>
    <t>Validación de disponibilidad</t>
  </si>
  <si>
    <t>P5</t>
  </si>
  <si>
    <t>Task P5 - Calcular sugerencias saludables</t>
  </si>
  <si>
    <t>Las sugerencias no se superponen y respetan máximo diario, duración y pausas.</t>
  </si>
  <si>
    <t>Validación de disponibilidad y preferencias</t>
  </si>
  <si>
    <t>P5.1</t>
  </si>
  <si>
    <t>Subtask P5.1 - Evitar superposición y horarios vencidos</t>
  </si>
  <si>
    <t>Ninguna sugerencia empieza en el pasado ni comparte minutos con otra.</t>
  </si>
  <si>
    <t>Analogía: generateSuggestions existente</t>
  </si>
  <si>
    <t>Normalización de materias</t>
  </si>
  <si>
    <t>P5.2</t>
  </si>
  <si>
    <t>Subtask P5.2 - Aplicar pausas y máximo de sesiones</t>
  </si>
  <si>
    <t>El plan inserta descanso y no supera el máximo diario configurado.</t>
  </si>
  <si>
    <t>Juicio técnico: reglas de agenda</t>
  </si>
  <si>
    <t>Sugerencias sin superposición</t>
  </si>
  <si>
    <t>P6</t>
  </si>
  <si>
    <t>Task P6 - Presentar y comprobar el horario sugerido</t>
  </si>
  <si>
    <t>La pantalla muestra el plan, advierte excesos y conserva cambios al recargar.</t>
  </si>
  <si>
    <t>Cálculo de sugerencias saludables</t>
  </si>
  <si>
    <t>P6.1</t>
  </si>
  <si>
    <t>Subtask P6.1 - Mostrar agenda y aviso de uso sano</t>
  </si>
  <si>
    <t>La agenda identifica materia, inicio, duración y aviso cuando excede el límite.</t>
  </si>
  <si>
    <t>Analogía: Planning.tsx existente</t>
  </si>
  <si>
    <t>Pausas y máximo de sesiones</t>
  </si>
  <si>
    <t>P6.2</t>
  </si>
  <si>
    <t>Subtask P6.2 - Probar límites y persistencia del horario</t>
  </si>
  <si>
    <t>Las pruebas cubren primer/último día, cruce de hora y recarga de preferencias.</t>
  </si>
  <si>
    <t>Juicio técnico: casos límite</t>
  </si>
  <si>
    <t>Agenda y aviso de uso sano</t>
  </si>
  <si>
    <t>RQ59</t>
  </si>
  <si>
    <t>Pomodoro para controlar tiempos de estudio</t>
  </si>
  <si>
    <t>El temporizador alterna enfoque y descanso, permite pausa/reanudación y registra la sesión terminada.</t>
  </si>
  <si>
    <t>Configuración de planificación</t>
  </si>
  <si>
    <t>P7</t>
  </si>
  <si>
    <t>Task P7 - Persistir el estado del temporizador</t>
  </si>
  <si>
    <t>La fase, el tiempo restante y la sesión activa sobreviven una recarga de la página.</t>
  </si>
  <si>
    <t>RQ59 - Pomodoro</t>
  </si>
  <si>
    <t>P7.1</t>
  </si>
  <si>
    <t>Subtask P7.1 - Modelar sesión, fase y marcas de tiempo</t>
  </si>
  <si>
    <t>El estado distingue enfoque, descanso, pausa, finalización y cancelación.</t>
  </si>
  <si>
    <t>Juicio técnico: máquina de estados</t>
  </si>
  <si>
    <t>P7.2</t>
  </si>
  <si>
    <t>Subtask P7.2 - Guardar y recuperar la sesión activa</t>
  </si>
  <si>
    <t>Al recargar, el tiempo se reconstruye desde marcas de tiempo sin reiniciarse.</t>
  </si>
  <si>
    <t>Analogía: persistencia de examen activo</t>
  </si>
  <si>
    <t>Modelo de sesión Pomodoro</t>
  </si>
  <si>
    <t>P8</t>
  </si>
  <si>
    <t>Task P8 - Completar experiencia e historial Pomodoro</t>
  </si>
  <si>
    <t>El estudiante controla el temporizador y consulta sesiones completadas con duración real.</t>
  </si>
  <si>
    <t>Persistencia del estado del temporizador</t>
  </si>
  <si>
    <t>P8.1</t>
  </si>
  <si>
    <t>Subtask P8.1 - Implementar pausa, reanudación y cambio de fase</t>
  </si>
  <si>
    <t>Los controles producen una sola transición válida y el contador nunca queda negativo.</t>
  </si>
  <si>
    <t>Juicio técnico: temporizador React</t>
  </si>
  <si>
    <t>Recuperación de sesión activa</t>
  </si>
  <si>
    <t>P8.2</t>
  </si>
  <si>
    <t>Subtask P8.2 - Guardar historial de sesiones terminadas</t>
  </si>
  <si>
    <t>Cada ciclo terminado registra enfoque, descanso, materia y duración efectiva.</t>
  </si>
  <si>
    <t>Analogía: historial persistente PAE</t>
  </si>
  <si>
    <t>Cambio de fase Pomodoro</t>
  </si>
  <si>
    <t>P9</t>
  </si>
  <si>
    <t>Task P9 - Verificar continuidad y accesibilidad</t>
  </si>
  <si>
    <t>El Pomodoro mantiene exactitud después de pausa, recarga y cambio de pestaña, con avisos accesibles.</t>
  </si>
  <si>
    <t>Experiencia e historial Pomodoro</t>
  </si>
  <si>
    <t>P9.1</t>
  </si>
  <si>
    <t>Subtask P9.1 - Añadir avisos visuales y accesibles de fase</t>
  </si>
  <si>
    <t>El cambio de fase se anuncia por texto visible y región aria-live sin depender del color.</t>
  </si>
  <si>
    <t>Juicio técnico: accesibilidad UI</t>
  </si>
  <si>
    <t>Historial de sesiones</t>
  </si>
  <si>
    <t>P9.2</t>
  </si>
  <si>
    <t>Subtask P9.2 - Automatizar casos de pausa, recarga y segundo plano</t>
  </si>
  <si>
    <t>Las pruebas confirman desfase máximo de un segundo y un solo registro por ciclo.</t>
  </si>
  <si>
    <t>Juicio técnico: temporizadores y E2E</t>
  </si>
  <si>
    <t>Avisos de fase accesibles</t>
  </si>
  <si>
    <t>P10</t>
  </si>
  <si>
    <t>Task P10 - Integrar el resumen semanal de hábitos</t>
  </si>
  <si>
    <t>El estudiante consulta minutos de enfoque, sesiones terminadas y cumplimiento del plan de la semana.</t>
  </si>
  <si>
    <t>Continuidad y accesibilidad Pomodoro</t>
  </si>
  <si>
    <t>P10.1</t>
  </si>
  <si>
    <t>Subtask P10.1 - Calcular métricas semanales de estudio</t>
  </si>
  <si>
    <t>El resumen calcula minutos de enfoque, sesiones completadas y recordatorios atendidos para siete días.</t>
  </si>
  <si>
    <t>Analogía: estadísticas del dashboard PAE</t>
  </si>
  <si>
    <t>P10.2</t>
  </si>
  <si>
    <t>Subtask P10.2 - Mostrar y verificar el resumen de hábitos</t>
  </si>
  <si>
    <t>La pantalla presenta las tres métricas y las pruebas reconcilian sus valores con el historial.</t>
  </si>
  <si>
    <t>Juicio técnico: integración de analítica</t>
  </si>
  <si>
    <t>Métricas semanales de estudio</t>
  </si>
  <si>
    <t>Total</t>
  </si>
  <si>
    <t>TOTAL</t>
  </si>
  <si>
    <t>Esfuerzo total estimado</t>
  </si>
  <si>
    <t>Suma de requisitos sin duplicar tareas ni subtareas</t>
  </si>
  <si>
    <t>Agregado de requisitos</t>
  </si>
  <si>
    <t>Requisitos del alcance</t>
  </si>
  <si>
    <t>Supuestos - Planificación de estudio</t>
  </si>
  <si>
    <t>Registrar y confirmar los supuestos antes de convertir el esfuerzo en una fecha de entrega.</t>
  </si>
  <si>
    <t>Por validar</t>
  </si>
  <si>
    <t>Supuesto</t>
  </si>
  <si>
    <t>Elementos afectados</t>
  </si>
  <si>
    <t>Si el supuesto es falso</t>
  </si>
  <si>
    <t>Estado</t>
  </si>
  <si>
    <t>S1</t>
  </si>
  <si>
    <t>La entrega se realiza primero mediante notificación interna de PAE.</t>
  </si>
  <si>
    <t>Agregar proveedor externo y consentimiento.</t>
  </si>
  <si>
    <t>S2</t>
  </si>
  <si>
    <t>La zona horaria del navegador coincide con la preferencia efectiva del estudiante.</t>
  </si>
  <si>
    <t>Sugerencias saludables</t>
  </si>
  <si>
    <t>Persistir zona horaria y convertir horarios.</t>
  </si>
  <si>
    <t>S3</t>
  </si>
  <si>
    <t>El estado actual de PlanningSetting y StudyPreference se mantiene compatible.</t>
  </si>
  <si>
    <t>Crear migración y adaptar contratos.</t>
  </si>
  <si>
    <t>Confirmado</t>
  </si>
  <si>
    <t>S4</t>
  </si>
  <si>
    <t>Una recarga puede reconstruir el Pomodoro desde marcas de tiempo locales.</t>
  </si>
  <si>
    <t>Persistencia del temporizador</t>
  </si>
  <si>
    <t>Persistir sesión activa en el servidor.</t>
  </si>
  <si>
    <t>S5</t>
  </si>
  <si>
    <t>Los avisos visuales y aria-live cubren el alcance accesible de esta entrega.</t>
  </si>
  <si>
    <t>Accesibilidad Pomodoro</t>
  </si>
  <si>
    <t>Añadir sonido configurable y prueba adicional.</t>
  </si>
  <si>
    <t>Alcance:Los requisitos del módulo de Estudio son los siguientes: RQ48 recordatorios, RQ54 horarios sugeridos y RQ59 Pomodoro.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</si>
</sst>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sz val="10"/>
      <color rgb="FF1F2937"/>
      <name val="Arial"/>
    </font>
    <font>
      <b/>
      <sz val="10"/>
      <color rgb="FF1F2937"/>
      <name val="Arial"/>
    </font>
    <font>
      <b/>
      <sz val="16"/>
      <color rgb="FF1F4E78"/>
      <name val="Arial"/>
    </font>
    <font>
      <i/>
      <sz val="10"/>
      <color rgb="FF4B5563"/>
      <name val="Arial"/>
    </font>
    <font>
      <b/>
      <sz val="10"/>
      <color rgb="FFFFFFFF"/>
      <name val="Arial"/>
    </font>
    <font>
      <b/>
      <sz val="15"/>
      <color rgb="FF1F4E78"/>
      <name val="Arial"/>
    </font>
    <font>
      <b/>
      <sz val="11"/>
      <color rgb="FF1F4E78"/>
      <name val="Arial"/>
    </font>
  </fonts>
  <fills count="6">
    <fill>
      <patternFill patternType="none"/>
    </fill>
    <fill>
      <patternFill patternType="gray125"/>
    </fill>
    <fill>
      <patternFill patternType="solid">
        <fgColor rgb="FFB4C6E7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1F4E78"/>
      </patternFill>
    </fill>
  </fills>
  <borders count="12">
    <border>
      <left/>
      <right/>
      <top/>
      <bottom/>
      <diagonal/>
    </border>
    <border>
      <left/>
      <right/>
      <top/>
      <bottom style="medium">
        <color rgb="FF1F4E78"/>
      </bottom>
      <diagonal/>
    </border>
    <border>
      <left/>
      <right/>
      <top/>
      <bottom style="thin">
        <color rgb="FF1F4E78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E5E7EB"/>
      </bottom>
      <diagonal/>
    </border>
    <border>
      <left style="medium">
        <color rgb="FF1F4E78"/>
      </left>
      <right/>
      <top style="medium">
        <color rgb="FF1F4E78"/>
      </top>
      <bottom style="medium">
        <color rgb="FF1F4E78"/>
      </bottom>
      <diagonal/>
    </border>
    <border>
      <left/>
      <right/>
      <top style="medium">
        <color rgb="FF1F4E78"/>
      </top>
      <bottom style="medium">
        <color rgb="FF1F4E78"/>
      </bottom>
      <diagonal/>
    </border>
    <border>
      <left style="thin">
        <color rgb="FF1F4E78"/>
      </left>
      <right/>
      <top style="thin">
        <color rgb="FF1F4E78"/>
      </top>
      <bottom style="thin">
        <color rgb="FF1F4E78"/>
      </bottom>
      <diagonal/>
    </border>
    <border>
      <left/>
      <right style="thin">
        <color rgb="FF1F4E78"/>
      </right>
      <top style="thin">
        <color rgb="FF1F4E78"/>
      </top>
      <bottom style="thin">
        <color rgb="FF1F4E78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 style="medium">
        <color rgb="FF1F4E78"/>
      </top>
      <bottom/>
      <diagonal/>
    </border>
    <border>
      <left/>
      <right style="medium">
        <color rgb="FF1F4E78"/>
      </right>
      <top style="medium">
        <color rgb="FF1F4E78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2" fontId="2" fillId="2" borderId="1" xfId="0" applyNumberFormat="1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vertical="center" wrapText="1"/>
    </xf>
    <xf numFmtId="2" fontId="2" fillId="3" borderId="2" xfId="0" applyNumberFormat="1" applyFont="1" applyFill="1" applyBorder="1" applyAlignment="1">
      <alignment horizontal="right" vertical="center" wrapText="1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5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2" fontId="1" fillId="4" borderId="0" xfId="0" applyNumberFormat="1" applyFont="1" applyFill="1" applyAlignment="1">
      <alignment horizontal="right" vertical="center" wrapText="1"/>
    </xf>
    <xf numFmtId="2" fontId="1" fillId="0" borderId="0" xfId="0" applyNumberFormat="1" applyFont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6" fillId="0" borderId="0" xfId="0" applyFont="1"/>
    <xf numFmtId="0" fontId="4" fillId="0" borderId="0" xfId="0" applyFont="1"/>
    <xf numFmtId="0" fontId="7" fillId="3" borderId="7" xfId="0" applyFont="1" applyFill="1" applyBorder="1"/>
    <xf numFmtId="0" fontId="7" fillId="3" borderId="8" xfId="0" applyFont="1" applyFill="1" applyBorder="1"/>
    <xf numFmtId="0" fontId="1" fillId="4" borderId="0" xfId="0" applyFont="1" applyFill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5" borderId="9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vertical="center" wrapText="1"/>
    </xf>
    <xf numFmtId="2" fontId="5" fillId="5" borderId="10" xfId="0" applyNumberFormat="1" applyFont="1" applyFill="1" applyBorder="1" applyAlignment="1">
      <alignment horizontal="right" vertical="center" wrapText="1"/>
    </xf>
    <xf numFmtId="0" fontId="5" fillId="5" borderId="11" xfId="0" applyFont="1" applyFill="1" applyBorder="1" applyAlignment="1">
      <alignment vertical="center" wrapText="1"/>
    </xf>
  </cellXfs>
  <cellStyles count="1"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rial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rial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rial"/>
        <scheme val="none"/>
      </font>
      <numFmt numFmtId="2" formatCode="0.0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rial"/>
        <scheme val="none"/>
      </font>
      <numFmt numFmtId="2" formatCode="0.0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rial"/>
        <scheme val="none"/>
      </font>
      <numFmt numFmtId="2" formatCode="0.00"/>
      <fill>
        <patternFill patternType="solid">
          <fgColor indexed="64"/>
          <bgColor rgb="FFFFF2CC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rial"/>
        <scheme val="none"/>
      </font>
      <numFmt numFmtId="2" formatCode="0.00"/>
      <fill>
        <patternFill patternType="solid">
          <fgColor indexed="64"/>
          <bgColor rgb="FFFFF2CC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rial"/>
        <scheme val="none"/>
      </font>
      <numFmt numFmtId="2" formatCode="0.00"/>
      <fill>
        <patternFill patternType="solid">
          <fgColor indexed="64"/>
          <bgColor rgb="FFFFF2CC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rial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rial"/>
        <scheme val="none"/>
      </font>
      <alignment horizontal="general" vertical="center" textRotation="0" wrapText="1" indent="0" justifyLastLine="0" shrinkToFit="0" readingOrder="0"/>
    </dxf>
    <dxf>
      <border outline="0">
        <bottom style="thin">
          <color rgb="FFFFFFFF"/>
        </bottom>
      </border>
    </dxf>
    <dxf>
      <border outline="0">
        <top style="thin">
          <color rgb="FFFFFFFF"/>
        </top>
        <bottom style="medium">
          <color rgb="FF1F4E78"/>
        </bottom>
      </border>
    </dxf>
    <dxf>
      <font>
        <b/>
        <color rgb="FFB91C1C"/>
      </font>
      <fill>
        <patternFill patternType="solid">
          <bgColor rgb="FFFD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B91C1C"/>
      </font>
      <fill>
        <patternFill patternType="solid">
          <bgColor rgb="FFFD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B013E3-637A-4382-AEE4-560D56E221DC}" name="Tabla1" displayName="Tabla1" ref="C7:K41" totalsRowShown="0" headerRowDxfId="0" headerRowBorderDxfId="10" tableBorderDxfId="11">
  <autoFilter ref="C7:K41" xr:uid="{B8B013E3-637A-4382-AEE4-560D56E221DC}"/>
  <tableColumns count="9">
    <tableColumn id="1" xr3:uid="{37E6FB81-950C-406C-871C-496F29F0772D}" name="Requisito / tarea / subtarea" dataDxfId="9"/>
    <tableColumn id="2" xr3:uid="{23B7C167-C67F-44EA-8675-BDA6F133775E}" name="Criterio de terminado" dataDxfId="8"/>
    <tableColumn id="3" xr3:uid="{8F34A72A-369E-461F-9D78-8A7DC37D846C}" name="Optimista" dataDxfId="7"/>
    <tableColumn id="4" xr3:uid="{175D7D00-FDC4-4D8B-B9FB-AFB46F01788A}" name="Más probable" dataDxfId="6"/>
    <tableColumn id="5" xr3:uid="{CC903BA5-0F98-4C0E-96B7-736051E02A7A}" name="Pesimista" dataDxfId="5"/>
    <tableColumn id="6" xr3:uid="{11A1A899-6B5D-4E59-8A28-EEA4881242EC}" name="Esperado" dataDxfId="4"/>
    <tableColumn id="7" xr3:uid="{7AB5AF9F-1757-46C4-8830-ACABAF17D41C}" name="Dispersión (σ)" dataDxfId="3"/>
    <tableColumn id="8" xr3:uid="{D788ABD5-7E89-491F-8470-4BB42A6AE421}" name="Experiencia propia (estimación)" dataDxfId="2"/>
    <tableColumn id="9" xr3:uid="{CDECA58B-889D-4548-8F87-FB6BA765117F}" name="Dependencia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K41"/>
  <sheetViews>
    <sheetView showGridLines="0" tabSelected="1" zoomScale="85" zoomScaleNormal="85" workbookViewId="0">
      <pane ySplit="7" topLeftCell="A8" activePane="bottomLeft" state="frozen"/>
      <selection pane="bottomLeft" activeCell="S14" sqref="S14"/>
    </sheetView>
  </sheetViews>
  <sheetFormatPr baseColWidth="10" defaultColWidth="8.796875" defaultRowHeight="13.8"/>
  <cols>
    <col min="1" max="1" width="13" customWidth="1"/>
    <col min="2" max="2" width="12" customWidth="1"/>
    <col min="3" max="3" width="47" customWidth="1"/>
    <col min="4" max="4" width="58" customWidth="1"/>
    <col min="5" max="5" width="13.59765625" customWidth="1"/>
    <col min="6" max="6" width="17.59765625" customWidth="1"/>
    <col min="7" max="8" width="13.59765625" customWidth="1"/>
    <col min="9" max="9" width="19.19921875" customWidth="1"/>
    <col min="10" max="10" width="38" customWidth="1"/>
    <col min="11" max="11" width="32" customWidth="1"/>
  </cols>
  <sheetData>
    <row r="1" spans="1:11">
      <c r="A1" s="6"/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25.05" customHeight="1">
      <c r="A2" s="26" t="s">
        <v>0</v>
      </c>
      <c r="B2" s="26"/>
      <c r="C2" s="26"/>
      <c r="D2" s="26"/>
      <c r="E2" s="26"/>
      <c r="F2" s="26"/>
      <c r="G2" s="26"/>
      <c r="H2" s="26"/>
      <c r="I2" s="26"/>
      <c r="J2" s="26"/>
      <c r="K2" s="26"/>
    </row>
    <row r="3" spans="1:11">
      <c r="A3" s="25" t="s">
        <v>196</v>
      </c>
      <c r="B3" s="25"/>
      <c r="C3" s="25"/>
      <c r="D3" s="25"/>
      <c r="E3" s="25"/>
      <c r="F3" s="25"/>
      <c r="G3" s="25"/>
      <c r="H3" s="25"/>
      <c r="I3" s="25"/>
      <c r="J3" s="25"/>
      <c r="K3" s="25"/>
    </row>
    <row r="4" spans="1:11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</row>
    <row r="5" spans="1:11">
      <c r="A5" s="7"/>
      <c r="B5" s="7"/>
      <c r="C5" s="7"/>
      <c r="D5" s="7"/>
      <c r="E5" s="7"/>
      <c r="F5" s="7"/>
      <c r="G5" s="7"/>
      <c r="H5" s="7"/>
      <c r="I5" s="7"/>
      <c r="J5" s="7"/>
      <c r="K5" s="7"/>
    </row>
    <row r="6" spans="1:11">
      <c r="A6" s="6"/>
      <c r="B6" s="6"/>
      <c r="C6" s="6"/>
      <c r="D6" s="6"/>
      <c r="E6" s="6"/>
      <c r="F6" s="6"/>
      <c r="G6" s="6"/>
      <c r="H6" s="6"/>
      <c r="I6" s="6"/>
      <c r="J6" s="6"/>
      <c r="K6" s="6"/>
    </row>
    <row r="7" spans="1:11" ht="34.049999999999997" customHeight="1">
      <c r="A7" s="8" t="s">
        <v>1</v>
      </c>
      <c r="B7" s="8" t="s">
        <v>2</v>
      </c>
      <c r="C7" s="27" t="s">
        <v>3</v>
      </c>
      <c r="D7" s="27" t="s">
        <v>4</v>
      </c>
      <c r="E7" s="27" t="s">
        <v>5</v>
      </c>
      <c r="F7" s="27" t="s">
        <v>6</v>
      </c>
      <c r="G7" s="27" t="s">
        <v>7</v>
      </c>
      <c r="H7" s="27" t="s">
        <v>8</v>
      </c>
      <c r="I7" s="27" t="s">
        <v>9</v>
      </c>
      <c r="J7" s="27" t="s">
        <v>10</v>
      </c>
      <c r="K7" s="27" t="s">
        <v>11</v>
      </c>
    </row>
    <row r="8" spans="1:11" ht="43.95" customHeight="1">
      <c r="A8" s="12" t="s">
        <v>12</v>
      </c>
      <c r="B8" s="12" t="s">
        <v>13</v>
      </c>
      <c r="C8" s="2" t="s">
        <v>14</v>
      </c>
      <c r="D8" s="2" t="s">
        <v>15</v>
      </c>
      <c r="E8" s="3">
        <f>ROUND(E9+E12+E15,2)</f>
        <v>9.5</v>
      </c>
      <c r="F8" s="3">
        <f>ROUND(F9+F12+F15,2)</f>
        <v>15.5</v>
      </c>
      <c r="G8" s="3">
        <f>ROUND(G9+G12+G15,2)</f>
        <v>26.5</v>
      </c>
      <c r="H8" s="3">
        <f>ROUND(H9+H12+H15,2)</f>
        <v>16.34</v>
      </c>
      <c r="I8" s="3">
        <f>ROUND(SQRT(I9^2+I12^2+I15^2),2)</f>
        <v>1.2</v>
      </c>
      <c r="J8" s="2" t="s">
        <v>16</v>
      </c>
      <c r="K8" s="2" t="s">
        <v>17</v>
      </c>
    </row>
    <row r="9" spans="1:11" ht="43.95" customHeight="1">
      <c r="A9" s="13" t="s">
        <v>18</v>
      </c>
      <c r="B9" s="13" t="s">
        <v>19</v>
      </c>
      <c r="C9" s="4" t="s">
        <v>20</v>
      </c>
      <c r="D9" s="4" t="s">
        <v>21</v>
      </c>
      <c r="E9" s="5">
        <f>ROUND(E10+E11,2)</f>
        <v>2</v>
      </c>
      <c r="F9" s="5">
        <f>ROUND(F10+F11,2)</f>
        <v>3.5</v>
      </c>
      <c r="G9" s="5">
        <f>ROUND(G10+G11,2)</f>
        <v>6</v>
      </c>
      <c r="H9" s="5">
        <f>ROUND(H10+H11,2)</f>
        <v>3.66</v>
      </c>
      <c r="I9" s="5">
        <f>ROUND(SQRT(I10^2+I11^2),2)</f>
        <v>0.49</v>
      </c>
      <c r="J9" s="4" t="s">
        <v>22</v>
      </c>
      <c r="K9" s="4" t="s">
        <v>23</v>
      </c>
    </row>
    <row r="10" spans="1:11" ht="43.95" customHeight="1">
      <c r="A10" s="14" t="s">
        <v>24</v>
      </c>
      <c r="B10" s="14" t="s">
        <v>25</v>
      </c>
      <c r="C10" s="9" t="s">
        <v>26</v>
      </c>
      <c r="D10" s="9" t="s">
        <v>27</v>
      </c>
      <c r="E10" s="10">
        <v>1</v>
      </c>
      <c r="F10" s="10">
        <v>1.5</v>
      </c>
      <c r="G10" s="10">
        <v>2.5</v>
      </c>
      <c r="H10" s="11">
        <f>ROUND((E10+4*F10+G10)/6,2)</f>
        <v>1.58</v>
      </c>
      <c r="I10" s="11">
        <f>ROUND((G10-E10)/6,2)</f>
        <v>0.25</v>
      </c>
      <c r="J10" s="9" t="s">
        <v>28</v>
      </c>
      <c r="K10" s="9" t="s">
        <v>17</v>
      </c>
    </row>
    <row r="11" spans="1:11" ht="43.95" customHeight="1">
      <c r="A11" s="14" t="s">
        <v>24</v>
      </c>
      <c r="B11" s="14" t="s">
        <v>29</v>
      </c>
      <c r="C11" s="9" t="s">
        <v>30</v>
      </c>
      <c r="D11" s="9" t="s">
        <v>31</v>
      </c>
      <c r="E11" s="10">
        <v>1</v>
      </c>
      <c r="F11" s="10">
        <v>2</v>
      </c>
      <c r="G11" s="10">
        <v>3.5</v>
      </c>
      <c r="H11" s="11">
        <f>ROUND((E11+4*F11+G11)/6,2)</f>
        <v>2.08</v>
      </c>
      <c r="I11" s="11">
        <f>ROUND((G11-E11)/6,2)</f>
        <v>0.42</v>
      </c>
      <c r="J11" s="9" t="s">
        <v>32</v>
      </c>
      <c r="K11" s="9" t="s">
        <v>33</v>
      </c>
    </row>
    <row r="12" spans="1:11" ht="43.95" customHeight="1">
      <c r="A12" s="13" t="s">
        <v>18</v>
      </c>
      <c r="B12" s="13" t="s">
        <v>34</v>
      </c>
      <c r="C12" s="4" t="s">
        <v>35</v>
      </c>
      <c r="D12" s="4" t="s">
        <v>36</v>
      </c>
      <c r="E12" s="5">
        <f>ROUND(E13+E14,2)</f>
        <v>4</v>
      </c>
      <c r="F12" s="5">
        <f>ROUND(F13+F14,2)</f>
        <v>6.5</v>
      </c>
      <c r="G12" s="5">
        <f>ROUND(G13+G14,2)</f>
        <v>11</v>
      </c>
      <c r="H12" s="5">
        <f>ROUND(H13+H14,2)</f>
        <v>6.84</v>
      </c>
      <c r="I12" s="5">
        <f>ROUND(SQRT(I13^2+I14^2),2)</f>
        <v>0.84</v>
      </c>
      <c r="J12" s="4" t="s">
        <v>22</v>
      </c>
      <c r="K12" s="4" t="s">
        <v>37</v>
      </c>
    </row>
    <row r="13" spans="1:11" ht="43.95" customHeight="1">
      <c r="A13" s="14" t="s">
        <v>24</v>
      </c>
      <c r="B13" s="14" t="s">
        <v>38</v>
      </c>
      <c r="C13" s="9" t="s">
        <v>39</v>
      </c>
      <c r="D13" s="9" t="s">
        <v>40</v>
      </c>
      <c r="E13" s="10">
        <v>2</v>
      </c>
      <c r="F13" s="10">
        <v>3.5</v>
      </c>
      <c r="G13" s="10">
        <v>6</v>
      </c>
      <c r="H13" s="11">
        <f>ROUND((E13+4*F13+G13)/6,2)</f>
        <v>3.67</v>
      </c>
      <c r="I13" s="11">
        <f>ROUND((G13-E13)/6,2)</f>
        <v>0.67</v>
      </c>
      <c r="J13" s="9" t="s">
        <v>41</v>
      </c>
      <c r="K13" s="9" t="s">
        <v>42</v>
      </c>
    </row>
    <row r="14" spans="1:11" ht="43.95" customHeight="1">
      <c r="A14" s="14" t="s">
        <v>24</v>
      </c>
      <c r="B14" s="14" t="s">
        <v>43</v>
      </c>
      <c r="C14" s="9" t="s">
        <v>44</v>
      </c>
      <c r="D14" s="9" t="s">
        <v>45</v>
      </c>
      <c r="E14" s="10">
        <v>2</v>
      </c>
      <c r="F14" s="10">
        <v>3</v>
      </c>
      <c r="G14" s="10">
        <v>5</v>
      </c>
      <c r="H14" s="11">
        <f>ROUND((E14+4*F14+G14)/6,2)</f>
        <v>3.17</v>
      </c>
      <c r="I14" s="11">
        <f>ROUND((G14-E14)/6,2)</f>
        <v>0.5</v>
      </c>
      <c r="J14" s="9" t="s">
        <v>46</v>
      </c>
      <c r="K14" s="9" t="s">
        <v>47</v>
      </c>
    </row>
    <row r="15" spans="1:11" ht="43.95" customHeight="1">
      <c r="A15" s="13" t="s">
        <v>18</v>
      </c>
      <c r="B15" s="13" t="s">
        <v>48</v>
      </c>
      <c r="C15" s="4" t="s">
        <v>49</v>
      </c>
      <c r="D15" s="4" t="s">
        <v>50</v>
      </c>
      <c r="E15" s="5">
        <f>ROUND(E16+E17,2)</f>
        <v>3.5</v>
      </c>
      <c r="F15" s="5">
        <f>ROUND(F16+F17,2)</f>
        <v>5.5</v>
      </c>
      <c r="G15" s="5">
        <f>ROUND(G16+G17,2)</f>
        <v>9.5</v>
      </c>
      <c r="H15" s="5">
        <f>ROUND(H16+H17,2)</f>
        <v>5.84</v>
      </c>
      <c r="I15" s="5">
        <f>ROUND(SQRT(I16^2+I17^2),2)</f>
        <v>0.71</v>
      </c>
      <c r="J15" s="4" t="s">
        <v>22</v>
      </c>
      <c r="K15" s="4" t="s">
        <v>51</v>
      </c>
    </row>
    <row r="16" spans="1:11" ht="43.95" customHeight="1">
      <c r="A16" s="14" t="s">
        <v>24</v>
      </c>
      <c r="B16" s="14" t="s">
        <v>52</v>
      </c>
      <c r="C16" s="9" t="s">
        <v>53</v>
      </c>
      <c r="D16" s="9" t="s">
        <v>54</v>
      </c>
      <c r="E16" s="10">
        <v>2</v>
      </c>
      <c r="F16" s="10">
        <v>3</v>
      </c>
      <c r="G16" s="10">
        <v>5</v>
      </c>
      <c r="H16" s="11">
        <f>ROUND((E16+4*F16+G16)/6,2)</f>
        <v>3.17</v>
      </c>
      <c r="I16" s="11">
        <f>ROUND((G16-E16)/6,2)</f>
        <v>0.5</v>
      </c>
      <c r="J16" s="9" t="s">
        <v>55</v>
      </c>
      <c r="K16" s="9" t="s">
        <v>56</v>
      </c>
    </row>
    <row r="17" spans="1:11" ht="43.95" customHeight="1">
      <c r="A17" s="14" t="s">
        <v>24</v>
      </c>
      <c r="B17" s="14" t="s">
        <v>57</v>
      </c>
      <c r="C17" s="9" t="s">
        <v>58</v>
      </c>
      <c r="D17" s="9" t="s">
        <v>59</v>
      </c>
      <c r="E17" s="10">
        <v>1.5</v>
      </c>
      <c r="F17" s="10">
        <v>2.5</v>
      </c>
      <c r="G17" s="10">
        <v>4.5</v>
      </c>
      <c r="H17" s="11">
        <f>ROUND((E17+4*F17+G17)/6,2)</f>
        <v>2.67</v>
      </c>
      <c r="I17" s="11">
        <f>ROUND((G17-E17)/6,2)</f>
        <v>0.5</v>
      </c>
      <c r="J17" s="9" t="s">
        <v>60</v>
      </c>
      <c r="K17" s="9" t="s">
        <v>61</v>
      </c>
    </row>
    <row r="18" spans="1:11" ht="43.95" customHeight="1">
      <c r="A18" s="12" t="s">
        <v>12</v>
      </c>
      <c r="B18" s="12" t="s">
        <v>62</v>
      </c>
      <c r="C18" s="2" t="s">
        <v>63</v>
      </c>
      <c r="D18" s="2" t="s">
        <v>64</v>
      </c>
      <c r="E18" s="3">
        <f>ROUND(E19+E22+E25,2)</f>
        <v>10.5</v>
      </c>
      <c r="F18" s="3">
        <f>ROUND(F19+F22+F25,2)</f>
        <v>17.5</v>
      </c>
      <c r="G18" s="3">
        <f>ROUND(G19+G22+G25,2)</f>
        <v>29</v>
      </c>
      <c r="H18" s="3">
        <f>ROUND(H19+H22+H25,2)</f>
        <v>18.260000000000002</v>
      </c>
      <c r="I18" s="3">
        <f>ROUND(SQRT(I19^2+I22^2+I25^2),2)</f>
        <v>1.3</v>
      </c>
      <c r="J18" s="2" t="s">
        <v>16</v>
      </c>
      <c r="K18" s="2" t="s">
        <v>17</v>
      </c>
    </row>
    <row r="19" spans="1:11" ht="43.95" customHeight="1">
      <c r="A19" s="13" t="s">
        <v>18</v>
      </c>
      <c r="B19" s="13" t="s">
        <v>65</v>
      </c>
      <c r="C19" s="4" t="s">
        <v>66</v>
      </c>
      <c r="D19" s="4" t="s">
        <v>67</v>
      </c>
      <c r="E19" s="5">
        <f>ROUND(E20+E21,2)</f>
        <v>2.5</v>
      </c>
      <c r="F19" s="5">
        <f>ROUND(F20+F21,2)</f>
        <v>4.5</v>
      </c>
      <c r="G19" s="5">
        <f>ROUND(G20+G21,2)</f>
        <v>7</v>
      </c>
      <c r="H19" s="5">
        <f>ROUND(H20+H21,2)</f>
        <v>4.58</v>
      </c>
      <c r="I19" s="5">
        <f>ROUND(SQRT(I20^2+I21^2),2)</f>
        <v>0.53</v>
      </c>
      <c r="J19" s="4" t="s">
        <v>22</v>
      </c>
      <c r="K19" s="4" t="s">
        <v>68</v>
      </c>
    </row>
    <row r="20" spans="1:11" ht="43.95" customHeight="1">
      <c r="A20" s="14" t="s">
        <v>24</v>
      </c>
      <c r="B20" s="14" t="s">
        <v>69</v>
      </c>
      <c r="C20" s="9" t="s">
        <v>70</v>
      </c>
      <c r="D20" s="9" t="s">
        <v>71</v>
      </c>
      <c r="E20" s="10">
        <v>1.5</v>
      </c>
      <c r="F20" s="10">
        <v>2.5</v>
      </c>
      <c r="G20" s="10">
        <v>4</v>
      </c>
      <c r="H20" s="11">
        <f>ROUND((E20+4*F20+G20)/6,2)</f>
        <v>2.58</v>
      </c>
      <c r="I20" s="11">
        <f>ROUND((G20-E20)/6,2)</f>
        <v>0.42</v>
      </c>
      <c r="J20" s="9" t="s">
        <v>72</v>
      </c>
      <c r="K20" s="9" t="s">
        <v>17</v>
      </c>
    </row>
    <row r="21" spans="1:11" ht="43.95" customHeight="1">
      <c r="A21" s="14" t="s">
        <v>24</v>
      </c>
      <c r="B21" s="14" t="s">
        <v>73</v>
      </c>
      <c r="C21" s="9" t="s">
        <v>74</v>
      </c>
      <c r="D21" s="9" t="s">
        <v>75</v>
      </c>
      <c r="E21" s="10">
        <v>1</v>
      </c>
      <c r="F21" s="10">
        <v>2</v>
      </c>
      <c r="G21" s="10">
        <v>3</v>
      </c>
      <c r="H21" s="11">
        <f>ROUND((E21+4*F21+G21)/6,2)</f>
        <v>2</v>
      </c>
      <c r="I21" s="11">
        <f>ROUND((G21-E21)/6,2)</f>
        <v>0.33</v>
      </c>
      <c r="J21" s="9" t="s">
        <v>76</v>
      </c>
      <c r="K21" s="9" t="s">
        <v>77</v>
      </c>
    </row>
    <row r="22" spans="1:11" ht="43.95" customHeight="1">
      <c r="A22" s="13" t="s">
        <v>18</v>
      </c>
      <c r="B22" s="13" t="s">
        <v>78</v>
      </c>
      <c r="C22" s="4" t="s">
        <v>79</v>
      </c>
      <c r="D22" s="4" t="s">
        <v>80</v>
      </c>
      <c r="E22" s="5">
        <f>ROUND(E23+E24,2)</f>
        <v>4</v>
      </c>
      <c r="F22" s="5">
        <f>ROUND(F23+F24,2)</f>
        <v>6.5</v>
      </c>
      <c r="G22" s="5">
        <f>ROUND(G23+G24,2)</f>
        <v>11</v>
      </c>
      <c r="H22" s="5">
        <f>ROUND(H23+H24,2)</f>
        <v>6.84</v>
      </c>
      <c r="I22" s="5">
        <f>ROUND(SQRT(I23^2+I24^2),2)</f>
        <v>0.84</v>
      </c>
      <c r="J22" s="4" t="s">
        <v>22</v>
      </c>
      <c r="K22" s="4" t="s">
        <v>81</v>
      </c>
    </row>
    <row r="23" spans="1:11" ht="43.95" customHeight="1">
      <c r="A23" s="14" t="s">
        <v>24</v>
      </c>
      <c r="B23" s="14" t="s">
        <v>82</v>
      </c>
      <c r="C23" s="9" t="s">
        <v>83</v>
      </c>
      <c r="D23" s="9" t="s">
        <v>84</v>
      </c>
      <c r="E23" s="10">
        <v>2</v>
      </c>
      <c r="F23" s="10">
        <v>3.5</v>
      </c>
      <c r="G23" s="10">
        <v>6</v>
      </c>
      <c r="H23" s="11">
        <f>ROUND((E23+4*F23+G23)/6,2)</f>
        <v>3.67</v>
      </c>
      <c r="I23" s="11">
        <f>ROUND((G23-E23)/6,2)</f>
        <v>0.67</v>
      </c>
      <c r="J23" s="9" t="s">
        <v>85</v>
      </c>
      <c r="K23" s="9" t="s">
        <v>86</v>
      </c>
    </row>
    <row r="24" spans="1:11" ht="43.95" customHeight="1">
      <c r="A24" s="14" t="s">
        <v>24</v>
      </c>
      <c r="B24" s="14" t="s">
        <v>87</v>
      </c>
      <c r="C24" s="9" t="s">
        <v>88</v>
      </c>
      <c r="D24" s="9" t="s">
        <v>89</v>
      </c>
      <c r="E24" s="10">
        <v>2</v>
      </c>
      <c r="F24" s="10">
        <v>3</v>
      </c>
      <c r="G24" s="10">
        <v>5</v>
      </c>
      <c r="H24" s="11">
        <f>ROUND((E24+4*F24+G24)/6,2)</f>
        <v>3.17</v>
      </c>
      <c r="I24" s="11">
        <f>ROUND((G24-E24)/6,2)</f>
        <v>0.5</v>
      </c>
      <c r="J24" s="9" t="s">
        <v>90</v>
      </c>
      <c r="K24" s="9" t="s">
        <v>91</v>
      </c>
    </row>
    <row r="25" spans="1:11" ht="43.95" customHeight="1">
      <c r="A25" s="13" t="s">
        <v>18</v>
      </c>
      <c r="B25" s="13" t="s">
        <v>92</v>
      </c>
      <c r="C25" s="4" t="s">
        <v>93</v>
      </c>
      <c r="D25" s="4" t="s">
        <v>94</v>
      </c>
      <c r="E25" s="5">
        <f>ROUND(E26+E27,2)</f>
        <v>4</v>
      </c>
      <c r="F25" s="5">
        <f>ROUND(F26+F27,2)</f>
        <v>6.5</v>
      </c>
      <c r="G25" s="5">
        <f>ROUND(G26+G27,2)</f>
        <v>11</v>
      </c>
      <c r="H25" s="5">
        <f>ROUND(H26+H27,2)</f>
        <v>6.84</v>
      </c>
      <c r="I25" s="5">
        <f>ROUND(SQRT(I26^2+I27^2),2)</f>
        <v>0.84</v>
      </c>
      <c r="J25" s="4" t="s">
        <v>22</v>
      </c>
      <c r="K25" s="4" t="s">
        <v>95</v>
      </c>
    </row>
    <row r="26" spans="1:11" ht="43.95" customHeight="1">
      <c r="A26" s="14" t="s">
        <v>24</v>
      </c>
      <c r="B26" s="14" t="s">
        <v>96</v>
      </c>
      <c r="C26" s="9" t="s">
        <v>97</v>
      </c>
      <c r="D26" s="9" t="s">
        <v>98</v>
      </c>
      <c r="E26" s="10">
        <v>2</v>
      </c>
      <c r="F26" s="10">
        <v>3.5</v>
      </c>
      <c r="G26" s="10">
        <v>6</v>
      </c>
      <c r="H26" s="11">
        <f>ROUND((E26+4*F26+G26)/6,2)</f>
        <v>3.67</v>
      </c>
      <c r="I26" s="11">
        <f>ROUND((G26-E26)/6,2)</f>
        <v>0.67</v>
      </c>
      <c r="J26" s="9" t="s">
        <v>99</v>
      </c>
      <c r="K26" s="9" t="s">
        <v>100</v>
      </c>
    </row>
    <row r="27" spans="1:11" ht="43.95" customHeight="1">
      <c r="A27" s="14" t="s">
        <v>24</v>
      </c>
      <c r="B27" s="14" t="s">
        <v>101</v>
      </c>
      <c r="C27" s="9" t="s">
        <v>102</v>
      </c>
      <c r="D27" s="9" t="s">
        <v>103</v>
      </c>
      <c r="E27" s="10">
        <v>2</v>
      </c>
      <c r="F27" s="10">
        <v>3</v>
      </c>
      <c r="G27" s="10">
        <v>5</v>
      </c>
      <c r="H27" s="11">
        <f>ROUND((E27+4*F27+G27)/6,2)</f>
        <v>3.17</v>
      </c>
      <c r="I27" s="11">
        <f>ROUND((G27-E27)/6,2)</f>
        <v>0.5</v>
      </c>
      <c r="J27" s="9" t="s">
        <v>104</v>
      </c>
      <c r="K27" s="9" t="s">
        <v>105</v>
      </c>
    </row>
    <row r="28" spans="1:11" ht="43.95" customHeight="1">
      <c r="A28" s="12" t="s">
        <v>12</v>
      </c>
      <c r="B28" s="12" t="s">
        <v>106</v>
      </c>
      <c r="C28" s="2" t="s">
        <v>107</v>
      </c>
      <c r="D28" s="2" t="s">
        <v>108</v>
      </c>
      <c r="E28" s="3">
        <f>ROUND(E29+E32+E35+E38,2)</f>
        <v>15.5</v>
      </c>
      <c r="F28" s="3">
        <f>ROUND(F29+F32+F35+F38,2)</f>
        <v>26</v>
      </c>
      <c r="G28" s="3">
        <f>ROUND(G29+G32+G35+G38,2)</f>
        <v>44.5</v>
      </c>
      <c r="H28" s="3">
        <f>ROUND(H29+H32+H35+H38,2)</f>
        <v>27.35</v>
      </c>
      <c r="I28" s="3">
        <f>ROUND(SQRT(I29^2+I32^2+I35^2+I38^2),2)</f>
        <v>1.76</v>
      </c>
      <c r="J28" s="2" t="s">
        <v>16</v>
      </c>
      <c r="K28" s="2" t="s">
        <v>109</v>
      </c>
    </row>
    <row r="29" spans="1:11" ht="43.95" customHeight="1">
      <c r="A29" s="13" t="s">
        <v>18</v>
      </c>
      <c r="B29" s="13" t="s">
        <v>110</v>
      </c>
      <c r="C29" s="4" t="s">
        <v>111</v>
      </c>
      <c r="D29" s="4" t="s">
        <v>112</v>
      </c>
      <c r="E29" s="5">
        <f>ROUND(E30+E31,2)</f>
        <v>3.5</v>
      </c>
      <c r="F29" s="5">
        <f>ROUND(F30+F31,2)</f>
        <v>6.5</v>
      </c>
      <c r="G29" s="5">
        <f>ROUND(G30+G31,2)</f>
        <v>11</v>
      </c>
      <c r="H29" s="5">
        <f>ROUND(H30+H31,2)</f>
        <v>6.75</v>
      </c>
      <c r="I29" s="5">
        <f>ROUND(SQRT(I30^2+I31^2),2)</f>
        <v>0.93</v>
      </c>
      <c r="J29" s="4" t="s">
        <v>22</v>
      </c>
      <c r="K29" s="4" t="s">
        <v>113</v>
      </c>
    </row>
    <row r="30" spans="1:11" ht="43.95" customHeight="1">
      <c r="A30" s="14" t="s">
        <v>24</v>
      </c>
      <c r="B30" s="14" t="s">
        <v>114</v>
      </c>
      <c r="C30" s="9" t="s">
        <v>115</v>
      </c>
      <c r="D30" s="9" t="s">
        <v>116</v>
      </c>
      <c r="E30" s="10">
        <v>1.5</v>
      </c>
      <c r="F30" s="10">
        <v>2.5</v>
      </c>
      <c r="G30" s="10">
        <v>4</v>
      </c>
      <c r="H30" s="11">
        <f>ROUND((E30+4*F30+G30)/6,2)</f>
        <v>2.58</v>
      </c>
      <c r="I30" s="11">
        <f>ROUND((G30-E30)/6,2)</f>
        <v>0.42</v>
      </c>
      <c r="J30" s="9" t="s">
        <v>117</v>
      </c>
      <c r="K30" s="9" t="s">
        <v>109</v>
      </c>
    </row>
    <row r="31" spans="1:11" ht="43.95" customHeight="1">
      <c r="A31" s="14" t="s">
        <v>24</v>
      </c>
      <c r="B31" s="14" t="s">
        <v>118</v>
      </c>
      <c r="C31" s="9" t="s">
        <v>119</v>
      </c>
      <c r="D31" s="9" t="s">
        <v>120</v>
      </c>
      <c r="E31" s="10">
        <v>2</v>
      </c>
      <c r="F31" s="10">
        <v>4</v>
      </c>
      <c r="G31" s="10">
        <v>7</v>
      </c>
      <c r="H31" s="11">
        <f>ROUND((E31+4*F31+G31)/6,2)</f>
        <v>4.17</v>
      </c>
      <c r="I31" s="11">
        <f>ROUND((G31-E31)/6,2)</f>
        <v>0.83</v>
      </c>
      <c r="J31" s="9" t="s">
        <v>121</v>
      </c>
      <c r="K31" s="9" t="s">
        <v>122</v>
      </c>
    </row>
    <row r="32" spans="1:11" ht="43.95" customHeight="1">
      <c r="A32" s="13" t="s">
        <v>18</v>
      </c>
      <c r="B32" s="13" t="s">
        <v>123</v>
      </c>
      <c r="C32" s="4" t="s">
        <v>124</v>
      </c>
      <c r="D32" s="4" t="s">
        <v>125</v>
      </c>
      <c r="E32" s="5">
        <f>ROUND(E33+E34,2)</f>
        <v>4</v>
      </c>
      <c r="F32" s="5">
        <f>ROUND(F33+F34,2)</f>
        <v>6.5</v>
      </c>
      <c r="G32" s="5">
        <f>ROUND(G33+G34,2)</f>
        <v>11</v>
      </c>
      <c r="H32" s="5">
        <f>ROUND(H33+H34,2)</f>
        <v>6.84</v>
      </c>
      <c r="I32" s="5">
        <f>ROUND(SQRT(I33^2+I34^2),2)</f>
        <v>0.84</v>
      </c>
      <c r="J32" s="4" t="s">
        <v>22</v>
      </c>
      <c r="K32" s="4" t="s">
        <v>126</v>
      </c>
    </row>
    <row r="33" spans="1:11" ht="43.95" customHeight="1">
      <c r="A33" s="14" t="s">
        <v>24</v>
      </c>
      <c r="B33" s="14" t="s">
        <v>127</v>
      </c>
      <c r="C33" s="9" t="s">
        <v>128</v>
      </c>
      <c r="D33" s="9" t="s">
        <v>129</v>
      </c>
      <c r="E33" s="10">
        <v>2</v>
      </c>
      <c r="F33" s="10">
        <v>3.5</v>
      </c>
      <c r="G33" s="10">
        <v>6</v>
      </c>
      <c r="H33" s="11">
        <f>ROUND((E33+4*F33+G33)/6,2)</f>
        <v>3.67</v>
      </c>
      <c r="I33" s="11">
        <f>ROUND((G33-E33)/6,2)</f>
        <v>0.67</v>
      </c>
      <c r="J33" s="9" t="s">
        <v>130</v>
      </c>
      <c r="K33" s="9" t="s">
        <v>131</v>
      </c>
    </row>
    <row r="34" spans="1:11" ht="43.95" customHeight="1">
      <c r="A34" s="14" t="s">
        <v>24</v>
      </c>
      <c r="B34" s="14" t="s">
        <v>132</v>
      </c>
      <c r="C34" s="9" t="s">
        <v>133</v>
      </c>
      <c r="D34" s="9" t="s">
        <v>134</v>
      </c>
      <c r="E34" s="10">
        <v>2</v>
      </c>
      <c r="F34" s="10">
        <v>3</v>
      </c>
      <c r="G34" s="10">
        <v>5</v>
      </c>
      <c r="H34" s="11">
        <f>ROUND((E34+4*F34+G34)/6,2)</f>
        <v>3.17</v>
      </c>
      <c r="I34" s="11">
        <f>ROUND((G34-E34)/6,2)</f>
        <v>0.5</v>
      </c>
      <c r="J34" s="9" t="s">
        <v>135</v>
      </c>
      <c r="K34" s="9" t="s">
        <v>136</v>
      </c>
    </row>
    <row r="35" spans="1:11" ht="43.95" customHeight="1">
      <c r="A35" s="13" t="s">
        <v>18</v>
      </c>
      <c r="B35" s="13" t="s">
        <v>137</v>
      </c>
      <c r="C35" s="4" t="s">
        <v>138</v>
      </c>
      <c r="D35" s="4" t="s">
        <v>139</v>
      </c>
      <c r="E35" s="5">
        <f>ROUND(E36+E37,2)</f>
        <v>4</v>
      </c>
      <c r="F35" s="5">
        <f>ROUND(F36+F37,2)</f>
        <v>6.5</v>
      </c>
      <c r="G35" s="5">
        <f>ROUND(G36+G37,2)</f>
        <v>11.5</v>
      </c>
      <c r="H35" s="5">
        <f>ROUND(H36+H37,2)</f>
        <v>6.92</v>
      </c>
      <c r="I35" s="5">
        <f>ROUND(SQRT(I36^2+I37^2),2)</f>
        <v>0.9</v>
      </c>
      <c r="J35" s="4" t="s">
        <v>22</v>
      </c>
      <c r="K35" s="4" t="s">
        <v>140</v>
      </c>
    </row>
    <row r="36" spans="1:11" ht="43.95" customHeight="1">
      <c r="A36" s="14" t="s">
        <v>24</v>
      </c>
      <c r="B36" s="14" t="s">
        <v>141</v>
      </c>
      <c r="C36" s="9" t="s">
        <v>142</v>
      </c>
      <c r="D36" s="9" t="s">
        <v>143</v>
      </c>
      <c r="E36" s="10">
        <v>1.5</v>
      </c>
      <c r="F36" s="10">
        <v>2.5</v>
      </c>
      <c r="G36" s="10">
        <v>4.5</v>
      </c>
      <c r="H36" s="11">
        <f>ROUND((E36+4*F36+G36)/6,2)</f>
        <v>2.67</v>
      </c>
      <c r="I36" s="11">
        <f>ROUND((G36-E36)/6,2)</f>
        <v>0.5</v>
      </c>
      <c r="J36" s="9" t="s">
        <v>144</v>
      </c>
      <c r="K36" s="9" t="s">
        <v>145</v>
      </c>
    </row>
    <row r="37" spans="1:11" ht="43.95" customHeight="1">
      <c r="A37" s="14" t="s">
        <v>24</v>
      </c>
      <c r="B37" s="14" t="s">
        <v>146</v>
      </c>
      <c r="C37" s="9" t="s">
        <v>147</v>
      </c>
      <c r="D37" s="9" t="s">
        <v>148</v>
      </c>
      <c r="E37" s="10">
        <v>2.5</v>
      </c>
      <c r="F37" s="10">
        <v>4</v>
      </c>
      <c r="G37" s="10">
        <v>7</v>
      </c>
      <c r="H37" s="11">
        <f>ROUND((E37+4*F37+G37)/6,2)</f>
        <v>4.25</v>
      </c>
      <c r="I37" s="11">
        <f>ROUND((G37-E37)/6,2)</f>
        <v>0.75</v>
      </c>
      <c r="J37" s="9" t="s">
        <v>149</v>
      </c>
      <c r="K37" s="9" t="s">
        <v>150</v>
      </c>
    </row>
    <row r="38" spans="1:11" ht="43.95" customHeight="1">
      <c r="A38" s="13" t="s">
        <v>18</v>
      </c>
      <c r="B38" s="13" t="s">
        <v>151</v>
      </c>
      <c r="C38" s="4" t="s">
        <v>152</v>
      </c>
      <c r="D38" s="4" t="s">
        <v>153</v>
      </c>
      <c r="E38" s="5">
        <f>ROUND(E39+E40,2)</f>
        <v>4</v>
      </c>
      <c r="F38" s="5">
        <f>ROUND(F39+F40,2)</f>
        <v>6.5</v>
      </c>
      <c r="G38" s="5">
        <f>ROUND(G39+G40,2)</f>
        <v>11</v>
      </c>
      <c r="H38" s="5">
        <f>ROUND(H39+H40,2)</f>
        <v>6.84</v>
      </c>
      <c r="I38" s="5">
        <f>ROUND(SQRT(I39^2+I40^2),2)</f>
        <v>0.84</v>
      </c>
      <c r="J38" s="4" t="s">
        <v>22</v>
      </c>
      <c r="K38" s="4" t="s">
        <v>154</v>
      </c>
    </row>
    <row r="39" spans="1:11" ht="43.95" customHeight="1">
      <c r="A39" s="14" t="s">
        <v>24</v>
      </c>
      <c r="B39" s="14" t="s">
        <v>155</v>
      </c>
      <c r="C39" s="9" t="s">
        <v>156</v>
      </c>
      <c r="D39" s="9" t="s">
        <v>157</v>
      </c>
      <c r="E39" s="10">
        <v>2</v>
      </c>
      <c r="F39" s="10">
        <v>3.5</v>
      </c>
      <c r="G39" s="10">
        <v>6</v>
      </c>
      <c r="H39" s="11">
        <f>ROUND((E39+4*F39+G39)/6,2)</f>
        <v>3.67</v>
      </c>
      <c r="I39" s="11">
        <f>ROUND((G39-E39)/6,2)</f>
        <v>0.67</v>
      </c>
      <c r="J39" s="9" t="s">
        <v>158</v>
      </c>
      <c r="K39" s="9" t="s">
        <v>145</v>
      </c>
    </row>
    <row r="40" spans="1:11" ht="43.95" customHeight="1" thickBot="1">
      <c r="A40" s="14" t="s">
        <v>24</v>
      </c>
      <c r="B40" s="14" t="s">
        <v>159</v>
      </c>
      <c r="C40" s="9" t="s">
        <v>160</v>
      </c>
      <c r="D40" s="9" t="s">
        <v>161</v>
      </c>
      <c r="E40" s="10">
        <v>2</v>
      </c>
      <c r="F40" s="10">
        <v>3</v>
      </c>
      <c r="G40" s="10">
        <v>5</v>
      </c>
      <c r="H40" s="11">
        <f>ROUND((E40+4*F40+G40)/6,2)</f>
        <v>3.17</v>
      </c>
      <c r="I40" s="11">
        <f>ROUND((G40-E40)/6,2)</f>
        <v>0.5</v>
      </c>
      <c r="J40" s="9" t="s">
        <v>162</v>
      </c>
      <c r="K40" s="9" t="s">
        <v>163</v>
      </c>
    </row>
    <row r="41" spans="1:11" ht="43.95" customHeight="1" thickBot="1">
      <c r="A41" s="17" t="s">
        <v>164</v>
      </c>
      <c r="B41" s="18" t="s">
        <v>165</v>
      </c>
      <c r="C41" s="28" t="s">
        <v>166</v>
      </c>
      <c r="D41" s="28" t="s">
        <v>167</v>
      </c>
      <c r="E41" s="29">
        <f>ROUND(E8+E18+E28,2)</f>
        <v>35.5</v>
      </c>
      <c r="F41" s="29">
        <f>ROUND(F8+F18+F28,2)</f>
        <v>59</v>
      </c>
      <c r="G41" s="29">
        <f>ROUND(G8+G18+G28,2)</f>
        <v>100</v>
      </c>
      <c r="H41" s="29">
        <f>ROUND(H8+H18+H28,2)</f>
        <v>61.95</v>
      </c>
      <c r="I41" s="29">
        <f>ROUND(SQRT(I8^2+I18^2+I28^2),2)</f>
        <v>2.5</v>
      </c>
      <c r="J41" s="28" t="s">
        <v>168</v>
      </c>
      <c r="K41" s="30" t="s">
        <v>169</v>
      </c>
    </row>
  </sheetData>
  <mergeCells count="3">
    <mergeCell ref="A2:K2"/>
    <mergeCell ref="A3:K3"/>
    <mergeCell ref="A4:K4"/>
  </mergeCells>
  <conditionalFormatting sqref="I8:I41">
    <cfRule type="cellIs" dxfId="14" priority="1" operator="greaterThan">
      <formula>1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9EAF7"/>
  </sheetPr>
  <dimension ref="A1:E12"/>
  <sheetViews>
    <sheetView showGridLines="0" workbookViewId="0">
      <pane ySplit="7" topLeftCell="A8" activePane="bottomLeft" state="frozen"/>
      <selection pane="bottomLeft"/>
    </sheetView>
  </sheetViews>
  <sheetFormatPr baseColWidth="10" defaultColWidth="8.796875" defaultRowHeight="13.8"/>
  <cols>
    <col min="1" max="1" width="14" customWidth="1"/>
    <col min="2" max="2" width="58" customWidth="1"/>
    <col min="3" max="3" width="35" customWidth="1"/>
    <col min="4" max="4" width="48" customWidth="1"/>
    <col min="5" max="5" width="17" customWidth="1"/>
  </cols>
  <sheetData>
    <row r="1" spans="1:5">
      <c r="A1" s="1"/>
      <c r="B1" s="1"/>
      <c r="C1" s="1"/>
      <c r="D1" s="1"/>
      <c r="E1" s="1"/>
    </row>
    <row r="2" spans="1:5" ht="19.2">
      <c r="A2" s="19" t="s">
        <v>170</v>
      </c>
      <c r="B2" s="19"/>
      <c r="C2" s="19"/>
      <c r="D2" s="19"/>
      <c r="E2" s="19"/>
    </row>
    <row r="3" spans="1:5">
      <c r="A3" s="20" t="s">
        <v>171</v>
      </c>
      <c r="B3" s="20"/>
      <c r="C3" s="20"/>
      <c r="D3" s="20"/>
      <c r="E3" s="20"/>
    </row>
    <row r="4" spans="1:5">
      <c r="A4" s="21" t="s">
        <v>172</v>
      </c>
      <c r="B4" s="22">
        <f>COUNTIFS(E8:E12,"Por validar")</f>
        <v>4</v>
      </c>
      <c r="C4" s="1"/>
      <c r="D4" s="1"/>
      <c r="E4" s="1"/>
    </row>
    <row r="5" spans="1:5">
      <c r="A5" s="1"/>
      <c r="B5" s="1"/>
      <c r="C5" s="1"/>
      <c r="D5" s="1"/>
      <c r="E5" s="1"/>
    </row>
    <row r="6" spans="1:5">
      <c r="A6" s="1"/>
      <c r="B6" s="1"/>
      <c r="C6" s="1"/>
      <c r="D6" s="1"/>
      <c r="E6" s="1"/>
    </row>
    <row r="7" spans="1:5" ht="30" customHeight="1">
      <c r="A7" s="8" t="s">
        <v>2</v>
      </c>
      <c r="B7" s="8" t="s">
        <v>173</v>
      </c>
      <c r="C7" s="8" t="s">
        <v>174</v>
      </c>
      <c r="D7" s="8" t="s">
        <v>175</v>
      </c>
      <c r="E7" s="8" t="s">
        <v>176</v>
      </c>
    </row>
    <row r="8" spans="1:5" ht="48" customHeight="1">
      <c r="A8" s="14" t="s">
        <v>177</v>
      </c>
      <c r="B8" s="9" t="s">
        <v>178</v>
      </c>
      <c r="C8" s="9" t="s">
        <v>51</v>
      </c>
      <c r="D8" s="9" t="s">
        <v>179</v>
      </c>
      <c r="E8" s="23" t="s">
        <v>172</v>
      </c>
    </row>
    <row r="9" spans="1:5" ht="48" customHeight="1">
      <c r="A9" s="14" t="s">
        <v>180</v>
      </c>
      <c r="B9" s="9" t="s">
        <v>181</v>
      </c>
      <c r="C9" s="9" t="s">
        <v>182</v>
      </c>
      <c r="D9" s="9" t="s">
        <v>183</v>
      </c>
      <c r="E9" s="23" t="s">
        <v>172</v>
      </c>
    </row>
    <row r="10" spans="1:5" ht="48" customHeight="1">
      <c r="A10" s="14" t="s">
        <v>184</v>
      </c>
      <c r="B10" s="9" t="s">
        <v>185</v>
      </c>
      <c r="C10" s="9" t="s">
        <v>17</v>
      </c>
      <c r="D10" s="9" t="s">
        <v>186</v>
      </c>
      <c r="E10" s="23" t="s">
        <v>187</v>
      </c>
    </row>
    <row r="11" spans="1:5" ht="48" customHeight="1">
      <c r="A11" s="14" t="s">
        <v>188</v>
      </c>
      <c r="B11" s="9" t="s">
        <v>189</v>
      </c>
      <c r="C11" s="9" t="s">
        <v>190</v>
      </c>
      <c r="D11" s="9" t="s">
        <v>191</v>
      </c>
      <c r="E11" s="23" t="s">
        <v>172</v>
      </c>
    </row>
    <row r="12" spans="1:5" ht="48" customHeight="1">
      <c r="A12" s="15" t="s">
        <v>192</v>
      </c>
      <c r="B12" s="16" t="s">
        <v>193</v>
      </c>
      <c r="C12" s="16" t="s">
        <v>194</v>
      </c>
      <c r="D12" s="16" t="s">
        <v>195</v>
      </c>
      <c r="E12" s="24" t="s">
        <v>172</v>
      </c>
    </row>
  </sheetData>
  <conditionalFormatting sqref="E8:E12">
    <cfRule type="containsText" dxfId="13" priority="1" operator="containsText" text="Confirmado"/>
    <cfRule type="containsText" dxfId="12" priority="2" operator="containsText" text="Descartado"/>
  </conditionalFormatting>
  <dataValidations count="1">
    <dataValidation type="list" sqref="E8:E12" xr:uid="{00000000-0002-0000-0100-000000000000}">
      <formula1>"Por validar,Confirmado,Descartado"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Estimación PERT</vt:lpstr>
      <vt:lpstr>Supuestos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José Queshyac</cp:lastModifiedBy>
  <dcterms:modified xsi:type="dcterms:W3CDTF">2026-10-10T23:05:30Z</dcterms:modified>
</cp:coreProperties>
</file>