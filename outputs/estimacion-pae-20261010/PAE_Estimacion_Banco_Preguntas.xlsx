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a585bb2aed47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timación PERT" sheetId="1" r:id="Ra73e8de026bf46a4"/>
    <x:sheet xmlns:r="http://schemas.openxmlformats.org/officeDocument/2006/relationships" name="Supuestos" sheetId="2" r:id="Rf1cd285825b14c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10">
    <x:font>
      <x:sz val="11"/>
      <x:name val="Carlito"/>
    </x:font>
    <x:font>
      <x:b/>
      <x:sz val="10"/>
      <x:color rgb="FF5B3F8C"/>
      <x:name val="Arial"/>
    </x:font>
    <x:font>
      <x:b/>
      <x:sz val="10"/>
      <x:color rgb="FF273449"/>
      <x:name val="Arial"/>
    </x:font>
    <x:font>
      <x:sz val="10"/>
      <x:color rgb="FF1F2937"/>
      <x:name val="Arial"/>
    </x:font>
    <x:font>
      <x:b/>
      <x:sz val="10"/>
      <x:color rgb="FF1F2937"/>
      <x:name val="Arial"/>
    </x:font>
    <x:font>
      <x:b/>
      <x:sz val="16"/>
      <x:color rgb="FF5B3F8C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b/>
      <x:sz val="15"/>
      <x:color rgb="FF5B3F8C"/>
      <x:name val="Arial"/>
    </x:font>
    <x:font>
      <x:b/>
      <x:sz val="11"/>
      <x:color rgb="FF5B3F8C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9C7ED"/>
      </x:patternFill>
    </x:fill>
    <x:fill>
      <x:patternFill patternType="solid">
        <x:fgColor rgb="FFEEE6F7"/>
      </x:patternFill>
    </x:fill>
    <x:fill>
      <x:patternFill patternType="solid">
        <x:fgColor rgb="FFFFF2CC"/>
      </x:patternFill>
    </x:fill>
    <x:fill>
      <x:patternFill patternType="solid">
        <x:fgColor rgb="FF5B3F8C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medium">
        <x:color rgb="FF5B3F8C"/>
      </x:bottom>
      <x:diagonal/>
    </x:border>
    <x:border>
      <x:left/>
      <x:right/>
      <x:top/>
      <x:bottom style="thin">
        <x:color rgb="FF5B3F8C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/>
      <x:right/>
      <x:top/>
      <x:bottom style="thin">
        <x:color rgb="FFE5E7EB"/>
      </x:bottom>
      <x:diagonal/>
    </x:border>
    <x:border>
      <x:left style="medium">
        <x:color rgb="FF5B3F8C"/>
      </x:left>
      <x:right/>
      <x:top style="medium">
        <x:color rgb="FF5B3F8C"/>
      </x:top>
      <x:bottom style="medium">
        <x:color rgb="FF5B3F8C"/>
      </x:bottom>
      <x:diagonal/>
    </x:border>
    <x:border>
      <x:left/>
      <x:right/>
      <x:top style="medium">
        <x:color rgb="FF5B3F8C"/>
      </x:top>
      <x:bottom style="medium">
        <x:color rgb="FF5B3F8C"/>
      </x:bottom>
      <x:diagonal/>
    </x:border>
    <x:border>
      <x:left/>
      <x:right style="medium">
        <x:color rgb="FF5B3F8C"/>
      </x:right>
      <x:top style="medium">
        <x:color rgb="FF5B3F8C"/>
      </x:top>
      <x:bottom style="medium">
        <x:color rgb="FF5B3F8C"/>
      </x:bottom>
      <x:diagonal/>
    </x:border>
    <x:border>
      <x:left style="thin">
        <x:color rgb="FF5B3F8C"/>
      </x:left>
      <x:right/>
      <x:top style="thin">
        <x:color rgb="FF5B3F8C"/>
      </x:top>
      <x:bottom style="thin">
        <x:color rgb="FF5B3F8C"/>
      </x:bottom>
      <x:diagonal/>
    </x:border>
    <x:border>
      <x:left/>
      <x:right style="thin">
        <x:color rgb="FF5B3F8C"/>
      </x:right>
      <x:top style="thin">
        <x:color rgb="FF5B3F8C"/>
      </x:top>
      <x:bottom style="thin">
        <x:color rgb="FF5B3F8C"/>
      </x:bottom>
      <x:diagonal/>
    </x:border>
  </x:borders>
  <x:cellStyleXfs count="1">
    <x:xf numFmtId="0" fontId="0" fillId="0" borderId="0"/>
  </x:cellStyleXfs>
  <x:cellXfs count="7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horizontal="righ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200" fontId="2" fillId="3" borderId="2" xfId="0" applyNumberFormat="1" applyFont="1" applyFill="1" applyBorder="1" applyAlignment="1">
      <x:alignment vertical="center" wrapText="1"/>
    </x:xf>
    <x:xf numFmtId="200" fontId="2" fillId="3" borderId="2" xfId="0" applyNumberFormat="1" applyFont="1" applyFill="1" applyBorder="1" applyAlignment="1">
      <x:alignment horizontal="right" vertical="center" wrapText="1"/>
    </x:xf>
    <x:xf numFmtId="0" fontId="0" fillId="4" borderId="0" xfId="0" applyNumberFormat="1" applyFont="1" applyFill="1" applyBorder="1"/>
    <x:xf numFmtId="0" fontId="3" fillId="0" borderId="0" xfId="0" applyNumberFormat="1" applyFont="1" applyFill="1" applyBorder="1"/>
    <x:xf numFmtId="0" fontId="4" fillId="2" borderId="1" xfId="0" applyNumberFormat="1" applyFont="1" applyFill="1" applyBorder="1" applyAlignment="1">
      <x:alignment vertical="center" wrapText="1"/>
    </x:xf>
    <x:xf numFmtId="200" fontId="4" fillId="2" borderId="1" xfId="0" applyNumberFormat="1" applyFont="1" applyFill="1" applyBorder="1" applyAlignment="1">
      <x:alignment horizontal="right"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200" fontId="4" fillId="3" borderId="2" xfId="0" applyNumberFormat="1" applyFont="1" applyFill="1" applyBorder="1" applyAlignment="1">
      <x:alignment horizontal="right" vertical="center" wrapText="1"/>
    </x:xf>
    <x:xf numFmtId="0" fontId="3" fillId="4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7" fillId="5" borderId="3" xfId="0" applyNumberFormat="1" applyFont="1" applyFill="1" applyBorder="1" applyAlignment="1">
      <x:alignment vertical="center"/>
    </x:xf>
    <x:xf numFmtId="0" fontId="7" fillId="5" borderId="3" xfId="0" applyNumberFormat="1" applyFont="1" applyFill="1" applyBorder="1" applyAlignment="1">
      <x:alignment vertical="center" wrapText="1"/>
    </x:xf>
    <x:xf numFmtId="0" fontId="7" fillId="5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right" vertical="center" wrapText="1"/>
    </x:xf>
    <x:xf numFmtId="0" fontId="3" fillId="0" borderId="0" xfId="0" applyNumberFormat="1" applyFont="1" applyFill="1" applyBorder="1" applyAlignment="1">
      <x:alignment horizontal="right" vertical="center" wrapText="1"/>
    </x:xf>
    <x:xf numFmtId="200" fontId="3" fillId="4" borderId="0" xfId="0" applyNumberFormat="1" applyFont="1" applyFill="1" applyBorder="1" applyAlignment="1">
      <x:alignment horizontal="right" vertical="center" wrapText="1"/>
    </x:xf>
    <x:xf numFmtId="200" fontId="3" fillId="0" borderId="0" xfId="0" applyNumberFormat="1" applyFont="1" applyFill="1" applyBorder="1" applyAlignment="1">
      <x:alignment horizontal="right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200" fontId="3" fillId="0" borderId="4" xfId="0" applyNumberFormat="1" applyFont="1" applyFill="1" applyBorder="1" applyAlignment="1">
      <x:alignment horizontal="right" vertical="center" wrapText="1"/>
    </x:xf>
    <x:xf numFmtId="0" fontId="3" fillId="5" borderId="4" xfId="0" applyNumberFormat="1" applyFont="1" applyFill="1" applyBorder="1" applyAlignment="1">
      <x:alignment horizontal="center" vertical="center" wrapText="1"/>
    </x:xf>
    <x:xf numFmtId="0" fontId="3" fillId="5" borderId="4" xfId="0" applyNumberFormat="1" applyFont="1" applyFill="1" applyBorder="1" applyAlignment="1">
      <x:alignment vertical="center" wrapText="1"/>
    </x:xf>
    <x:xf numFmtId="200" fontId="3" fillId="5" borderId="4" xfId="0" applyNumberFormat="1" applyFont="1" applyFill="1" applyBorder="1" applyAlignment="1">
      <x:alignment horizontal="right" vertical="center" wrapText="1"/>
    </x:xf>
    <x:xf numFmtId="0" fontId="7" fillId="5" borderId="4" xfId="0" applyNumberFormat="1" applyFont="1" applyFill="1" applyBorder="1" applyAlignment="1">
      <x:alignment horizontal="center" vertical="center" wrapText="1"/>
    </x:xf>
    <x:xf numFmtId="0" fontId="7" fillId="5" borderId="4" xfId="0" applyNumberFormat="1" applyFont="1" applyFill="1" applyBorder="1" applyAlignment="1">
      <x:alignment vertical="center" wrapText="1"/>
    </x:xf>
    <x:xf numFmtId="200" fontId="7" fillId="5" borderId="4" xfId="0" applyNumberFormat="1" applyFont="1" applyFill="1" applyBorder="1" applyAlignment="1">
      <x:alignment horizontal="right" vertical="center" wrapText="1"/>
    </x:xf>
    <x:xf numFmtId="0" fontId="7" fillId="5" borderId="5" xfId="0" applyNumberFormat="1" applyFont="1" applyFill="1" applyBorder="1" applyAlignment="1">
      <x:alignment horizontal="center" vertical="center" wrapText="1"/>
    </x:xf>
    <x:xf numFmtId="0" fontId="7" fillId="5" borderId="6" xfId="0" applyNumberFormat="1" applyFont="1" applyFill="1" applyBorder="1" applyAlignment="1">
      <x:alignment horizontal="center" vertical="center" wrapText="1"/>
    </x:xf>
    <x:xf numFmtId="0" fontId="7" fillId="5" borderId="6" xfId="0" applyNumberFormat="1" applyFont="1" applyFill="1" applyBorder="1" applyAlignment="1">
      <x:alignment vertical="center" wrapText="1"/>
    </x:xf>
    <x:xf numFmtId="200" fontId="7" fillId="5" borderId="6" xfId="0" applyNumberFormat="1" applyFont="1" applyFill="1" applyBorder="1" applyAlignment="1">
      <x:alignment horizontal="right" vertical="center" wrapText="1"/>
    </x:xf>
    <x:xf numFmtId="0" fontId="7" fillId="5" borderId="7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6" fillId="0" borderId="0" xfId="0" applyNumberFormat="1" applyFont="1" applyFill="1" applyBorder="1"/>
    <x:xf numFmtId="0" fontId="3" fillId="3" borderId="0" xfId="0" applyNumberFormat="1" applyFont="1" applyFill="1" applyBorder="1"/>
    <x:xf numFmtId="0" fontId="9" fillId="3" borderId="0" xfId="0" applyNumberFormat="1" applyFont="1" applyFill="1" applyBorder="1"/>
    <x:xf numFmtId="0" fontId="9" fillId="3" borderId="8" xfId="0" applyNumberFormat="1" applyFont="1" applyFill="1" applyBorder="1"/>
    <x:xf numFmtId="0" fontId="9" fillId="3" borderId="9" xfId="0" applyNumberFormat="1" applyFont="1" applyFill="1" applyBorder="1"/>
    <x:xf numFmtId="0" fontId="3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3" xfId="0" applyNumberFormat="1" applyFont="1" applyFill="1" applyBorder="1"/>
    <x:xf numFmtId="0" fontId="7" fillId="5" borderId="3" xfId="0" applyNumberFormat="1" applyFont="1" applyFill="1" applyBorder="1" applyAlignment="1">
      <x:alignment wrapText="1"/>
    </x:xf>
    <x:xf numFmtId="0" fontId="7" fillId="5" borderId="3" xfId="0" applyNumberFormat="1" applyFont="1" applyFill="1" applyBorder="1" applyAlignment="1">
      <x:alignment horizontal="center" wrapText="1"/>
    </x:xf>
    <x:xf numFmtId="0" fontId="3" fillId="0" borderId="4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b/>
        <x:color rgb="FFB91C1C"/>
      </x:font>
      <x:fill>
        <x:patternFill patternType="solid">
          <x:bgColor rgb="FFFD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69649aa3f440c2" /><Relationship Type="http://schemas.openxmlformats.org/officeDocument/2006/relationships/theme" Target="/xl/theme/theme1.xml" Id="R95fa10ff40394975" /><Relationship Type="http://schemas.openxmlformats.org/officeDocument/2006/relationships/sharedStrings" Target="/xl/sharedStrings.xml" Id="R6e8c9b65e2844171" /><Relationship Type="http://schemas.openxmlformats.org/officeDocument/2006/relationships/worksheet" Target="/xl/worksheets/sheet1.xml" Id="Ra73e8de026bf46a4" /><Relationship Type="http://schemas.openxmlformats.org/officeDocument/2006/relationships/worksheet" Target="/xl/worksheets/sheet2.xml" Id="Rf1cd285825b14c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5B3F8C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47" hidden="0" customWidth="1"/>
    <x:col min="4" max="4" width="58" hidden="0" customWidth="1"/>
    <x:col min="5" max="5" width="12" hidden="0" customWidth="1"/>
    <x:col min="6" max="6" width="14" hidden="0" customWidth="1"/>
    <x:col min="7" max="7" width="12" hidden="0" customWidth="1"/>
    <x:col min="8" max="8" width="13" hidden="0" customWidth="1"/>
    <x:col min="9" max="9" width="14" hidden="0" customWidth="1"/>
    <x:col min="10" max="10" width="38" hidden="0" customWidth="1"/>
    <x:col min="11" max="11" width="32" hidden="0" customWidth="1"/>
  </x:cols>
  <x:sheetData>
    <x:row r="1">
      <x:c r="A1" s="22"/>
      <x:c r="B1" s="22"/>
      <x:c r="C1" s="22"/>
      <x:c r="D1" s="22"/>
      <x:c r="E1" s="22"/>
      <x:c r="F1" s="22"/>
      <x:c r="G1" s="22"/>
      <x:c r="H1" s="22"/>
      <x:c r="I1" s="22"/>
      <x:c r="J1" s="22"/>
      <x:c r="K1" s="22"/>
    </x:row>
    <x:row r="2" ht="25" customHeight="1">
      <x:c r="A2" s="24" t="str">
        <x:v>PAE - Estimación PERT de importación del banco de preguntas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</x:row>
    <x:row r="3">
      <x:c r="A3" s="25" t="str">
        <x:v>Alcance: RQ117 CSV/XLSX, RQ22 tipos de pregunta y RQ72 categorización con vista previa.</x:v>
      </x:c>
      <x:c r="B3" s="25"/>
      <x:c r="C3" s="25"/>
      <x:c r="D3" s="25"/>
      <x:c r="E3" s="25"/>
      <x:c r="F3" s="25"/>
      <x:c r="G3" s="25"/>
      <x:c r="H3" s="25"/>
      <x:c r="I3" s="25"/>
      <x:c r="J3" s="25"/>
      <x:c r="K3" s="25"/>
    </x:row>
    <x:row r="4">
      <x:c r="A4" s="25" t="str">
        <x:v>Fórmulas: esperado = (Optimista + 4 × Más probable + Pesimista) / 6; dispersión = (Pesimista - Optimista) / 6. Totales de dispersión suponen subtareas independientes.</x:v>
      </x:c>
      <x:c r="B4" s="25"/>
      <x:c r="C4" s="25"/>
      <x:c r="D4" s="25"/>
      <x:c r="E4" s="25"/>
      <x:c r="F4" s="25"/>
      <x:c r="G4" s="25"/>
      <x:c r="H4" s="25"/>
      <x:c r="I4" s="25"/>
      <x:c r="J4" s="25"/>
      <x:c r="K4" s="25"/>
    </x:row>
    <x:row r="5">
      <x:c r="A5" s="25" t="str">
        <x:v>Fuentes: documentación interna de PAE y Sesión 05 - Descomposición y estimación. Unidad: horas de trabajo efectivo.</x:v>
      </x:c>
      <x:c r="B5" s="25"/>
      <x:c r="C5" s="25"/>
      <x:c r="D5" s="25"/>
      <x:c r="E5" s="25"/>
      <x:c r="F5" s="25"/>
      <x:c r="G5" s="25"/>
      <x:c r="H5" s="25"/>
      <x:c r="I5" s="25"/>
      <x:c r="J5" s="25"/>
      <x:c r="K5" s="25"/>
    </x:row>
    <x:row r="6">
      <x:c r="A6" s="22"/>
      <x:c r="B6" s="22"/>
      <x:c r="C6" s="22"/>
      <x:c r="D6" s="22"/>
      <x:c r="E6" s="22"/>
      <x:c r="F6" s="22"/>
      <x:c r="G6" s="22"/>
      <x:c r="H6" s="22"/>
      <x:c r="I6" s="22"/>
      <x:c r="J6" s="22"/>
      <x:c r="K6" s="22"/>
    </x:row>
    <x:row r="7" ht="34" customHeight="1">
      <x:c r="A7" s="30" t="str">
        <x:v>Nivel</x:v>
      </x:c>
      <x:c r="B7" s="30" t="str">
        <x:v>ID</x:v>
      </x:c>
      <x:c r="C7" s="30" t="str">
        <x:v>Requisito / tarea / subtarea</x:v>
      </x:c>
      <x:c r="D7" s="30" t="str">
        <x:v>Criterio de terminado</x:v>
      </x:c>
      <x:c r="E7" s="30" t="str">
        <x:v>Optimista</x:v>
      </x:c>
      <x:c r="F7" s="30" t="str">
        <x:v>Más probable</x:v>
      </x:c>
      <x:c r="G7" s="30" t="str">
        <x:v>Pesimista</x:v>
      </x:c>
      <x:c r="H7" s="30" t="str">
        <x:v>Esperado</x:v>
      </x:c>
      <x:c r="I7" s="30" t="str">
        <x:v>Dispersión (σ)</x:v>
      </x:c>
      <x:c r="J7" s="30" t="str">
        <x:v>Experiencia propia (estimación)</x:v>
      </x:c>
      <x:c r="K7" s="30" t="str">
        <x:v>Dependencia</x:v>
      </x:c>
    </x:row>
    <x:row r="8" ht="44" hidden="0" customHeight="1">
      <x:c r="A8" s="37" t="str">
        <x:v>Requisito</x:v>
      </x:c>
      <x:c r="B8" s="37" t="str">
        <x:v>RQ117</x:v>
      </x:c>
      <x:c r="C8" s="17" t="str">
        <x:v>Importar y exportar bancos CSV/XLSX</x:v>
      </x:c>
      <x:c r="D8" s="17" t="str">
        <x:v>El docente carga o descarga un banco compatible sin convertir manualmente el archivo a JSON.</x:v>
      </x:c>
      <x:c r="E8" s="18" t="n">
        <x:f>ROUND(E9+E12+E15+E18,2)</x:f>
        <x:v>16</x:v>
      </x:c>
      <x:c r="F8" s="18" t="n">
        <x:f>ROUND(F9+F12+F15+F18,2)</x:f>
        <x:v>27</x:v>
      </x:c>
      <x:c r="G8" s="18" t="n">
        <x:f>ROUND(G9+G12+G15+G18,2)</x:f>
        <x:v>45.5</x:v>
      </x:c>
      <x:c r="H8" s="18" t="n">
        <x:f>ROUND(H9+H12+H15+H18,2)</x:f>
        <x:v>28.25</x:v>
      </x:c>
      <x:c r="I8" s="18" t="n">
        <x:f>ROUND(SQRT(I9^2+I12^2+I15^2+I18^2),2)</x:f>
        <x:v>1.8</x:v>
      </x:c>
      <x:c r="J8" s="17" t="str">
        <x:v>Agregado de tareas</x:v>
      </x:c>
      <x:c r="K8" s="17" t="str">
        <x:v>Banco de preguntas docente</x:v>
      </x:c>
    </x:row>
    <x:row r="9" ht="44" hidden="0" customHeight="1">
      <x:c r="A9" s="38" t="str">
        <x:v>Tarea</x:v>
      </x:c>
      <x:c r="B9" s="38" t="str">
        <x:v>I1</x:v>
      </x:c>
      <x:c r="C9" s="19" t="str">
        <x:v>Task I1 - Definir plantilla y contrato de archivos</x:v>
      </x:c>
      <x:c r="D9" s="19" t="str">
        <x:v>La plantilla identifica columnas obligatorias, opcionales, tipos y ejemplo válido.</x:v>
      </x:c>
      <x:c r="E9" s="20" t="n">
        <x:f>ROUND(E10+E11,2)</x:f>
        <x:v>2.5</x:v>
      </x:c>
      <x:c r="F9" s="20" t="n">
        <x:f>ROUND(F10+F11,2)</x:f>
        <x:v>4.5</x:v>
      </x:c>
      <x:c r="G9" s="20" t="n">
        <x:f>ROUND(G10+G11,2)</x:f>
        <x:v>7.5</x:v>
      </x:c>
      <x:c r="H9" s="20" t="n">
        <x:f>ROUND(H10+H11,2)</x:f>
        <x:v>4.66</x:v>
      </x:c>
      <x:c r="I9" s="20" t="n">
        <x:f>ROUND(SQRT(I10^2+I11^2),2)</x:f>
        <x:v>0.59</x:v>
      </x:c>
      <x:c r="J9" s="19" t="str">
        <x:v>Agregado de subtareas</x:v>
      </x:c>
      <x:c r="K9" s="19" t="str">
        <x:v>RQ117 - Importación y exportación</x:v>
      </x:c>
    </x:row>
    <x:row r="10" ht="44" hidden="0" customHeight="1">
      <x:c r="A10" s="39" t="str">
        <x:v>Subtarea</x:v>
      </x:c>
      <x:c r="B10" s="39" t="str">
        <x:v>I1.1</x:v>
      </x:c>
      <x:c r="C10" s="31" t="str">
        <x:v>Subtask I1.1 - Diseñar columnas y diccionario CSV/XLSX</x:v>
      </x:c>
      <x:c r="D10" s="31" t="str">
        <x:v>El diccionario cubre pregunta, tipo, opciones, respuesta, materia, tema, dificultad y universidad.</x:v>
      </x:c>
      <x:c r="E10" s="35" t="n">
        <x:v>1.5</x:v>
      </x:c>
      <x:c r="F10" s="35" t="n">
        <x:v>2.5</x:v>
      </x:c>
      <x:c r="G10" s="35" t="n">
        <x:v>4</x:v>
      </x:c>
      <x:c r="H10" s="36" t="n">
        <x:f>ROUND((E10+4*F10+G10)/6,2)</x:f>
        <x:v>2.58</x:v>
      </x:c>
      <x:c r="I10" s="36" t="n">
        <x:f>ROUND((G10-E10)/6,2)</x:f>
        <x:v>0.42</x:v>
      </x:c>
      <x:c r="J10" s="31" t="str">
        <x:v>Analogía: CreateQuestionData existente</x:v>
      </x:c>
      <x:c r="K10" s="31" t="str">
        <x:v>Banco de preguntas docente</x:v>
      </x:c>
    </x:row>
    <x:row r="11" ht="44" hidden="0" customHeight="1">
      <x:c r="A11" s="39" t="str">
        <x:v>Subtarea</x:v>
      </x:c>
      <x:c r="B11" s="39" t="str">
        <x:v>I1.2</x:v>
      </x:c>
      <x:c r="C11" s="31" t="str">
        <x:v>Subtask I1.2 - Publicar plantillas descargables</x:v>
      </x:c>
      <x:c r="D11" s="31" t="str">
        <x:v>CSV y XLSX abren con una fila válida y encabezados en el orden documentado.</x:v>
      </x:c>
      <x:c r="E11" s="35" t="n">
        <x:v>1</x:v>
      </x:c>
      <x:c r="F11" s="35" t="n">
        <x:v>2</x:v>
      </x:c>
      <x:c r="G11" s="35" t="n">
        <x:v>3.5</x:v>
      </x:c>
      <x:c r="H11" s="36" t="n">
        <x:f>ROUND((E11+4*F11+G11)/6,2)</x:f>
        <x:v>2.08</x:v>
      </x:c>
      <x:c r="I11" s="36" t="n">
        <x:f>ROUND((G11-E11)/6,2)</x:f>
        <x:v>0.42</x:v>
      </x:c>
      <x:c r="J11" s="31" t="str">
        <x:v>Juicio técnico: generación de archivos</x:v>
      </x:c>
      <x:c r="K11" s="31" t="str">
        <x:v>Diccionario de columnas</x:v>
      </x:c>
    </x:row>
    <x:row r="12" ht="44" hidden="0" customHeight="1">
      <x:c r="A12" s="38" t="str">
        <x:v>Tarea</x:v>
      </x:c>
      <x:c r="B12" s="38" t="str">
        <x:v>I2</x:v>
      </x:c>
      <x:c r="C12" s="19" t="str">
        <x:v>Task I2 - Procesar cargas CSV y XLSX</x:v>
      </x:c>
      <x:c r="D12" s="19" t="str">
        <x:v>El servicio reconoce ambos formatos y devuelve filas normalizadas o errores localizados.</x:v>
      </x:c>
      <x:c r="E12" s="20" t="n">
        <x:f>ROUND(E13+E14,2)</x:f>
        <x:v>5</x:v>
      </x:c>
      <x:c r="F12" s="20" t="n">
        <x:f>ROUND(F13+F14,2)</x:f>
        <x:v>8.5</x:v>
      </x:c>
      <x:c r="G12" s="20" t="n">
        <x:f>ROUND(G13+G14,2)</x:f>
        <x:v>14</x:v>
      </x:c>
      <x:c r="H12" s="20" t="n">
        <x:f>ROUND(H13+H14,2)</x:f>
        <x:v>8.84</x:v>
      </x:c>
      <x:c r="I12" s="20" t="n">
        <x:f>ROUND(SQRT(I13^2+I14^2),2)</x:f>
        <x:v>1.07</x:v>
      </x:c>
      <x:c r="J12" s="19" t="str">
        <x:v>Agregado de subtareas</x:v>
      </x:c>
      <x:c r="K12" s="19" t="str">
        <x:v>Plantilla y contrato de archivos</x:v>
      </x:c>
    </x:row>
    <x:row r="13" ht="44" hidden="0" customHeight="1">
      <x:c r="A13" s="39" t="str">
        <x:v>Subtarea</x:v>
      </x:c>
      <x:c r="B13" s="39" t="str">
        <x:v>I2.1</x:v>
      </x:c>
      <x:c r="C13" s="31" t="str">
        <x:v>Subtask I2.1 - Implementar lectura segura de CSV</x:v>
      </x:c>
      <x:c r="D13" s="31" t="str">
        <x:v>El parser conserva tildes, comas citadas y saltos de línea dentro de campos.</x:v>
      </x:c>
      <x:c r="E13" s="35" t="n">
        <x:v>2</x:v>
      </x:c>
      <x:c r="F13" s="35" t="n">
        <x:v>3.5</x:v>
      </x:c>
      <x:c r="G13" s="35" t="n">
        <x:v>6</x:v>
      </x:c>
      <x:c r="H13" s="36" t="n">
        <x:f>ROUND((E13+4*F13+G13)/6,2)</x:f>
        <x:v>3.67</x:v>
      </x:c>
      <x:c r="I13" s="36" t="n">
        <x:f>ROUND((G13-E13)/6,2)</x:f>
        <x:v>0.67</x:v>
      </x:c>
      <x:c r="J13" s="31" t="str">
        <x:v>Juicio técnico: parser CSV</x:v>
      </x:c>
      <x:c r="K13" s="31" t="str">
        <x:v>Plantillas descargables</x:v>
      </x:c>
    </x:row>
    <x:row r="14" ht="44" hidden="0" customHeight="1">
      <x:c r="A14" s="39" t="str">
        <x:v>Subtarea</x:v>
      </x:c>
      <x:c r="B14" s="39" t="str">
        <x:v>I2.2</x:v>
      </x:c>
      <x:c r="C14" s="31" t="str">
        <x:v>Subtask I2.2 - Implementar lectura acotada de XLSX</x:v>
      </x:c>
      <x:c r="D14" s="31" t="str">
        <x:v>Solo procesa la hoja Preguntas, rechaza macros y limita tamaño y número de filas.</x:v>
      </x:c>
      <x:c r="E14" s="35" t="n">
        <x:v>3</x:v>
      </x:c>
      <x:c r="F14" s="35" t="n">
        <x:v>5</x:v>
      </x:c>
      <x:c r="G14" s="35" t="n">
        <x:v>8</x:v>
      </x:c>
      <x:c r="H14" s="36" t="n">
        <x:f>ROUND((E14+4*F14+G14)/6,2)</x:f>
        <x:v>5.17</x:v>
      </x:c>
      <x:c r="I14" s="36" t="n">
        <x:f>ROUND((G14-E14)/6,2)</x:f>
        <x:v>0.83</x:v>
      </x:c>
      <x:c r="J14" s="31" t="str">
        <x:v>Juicio técnico: formato XLSX nuevo</x:v>
      </x:c>
      <x:c r="K14" s="31" t="str">
        <x:v>Diccionario de columnas</x:v>
      </x:c>
    </x:row>
    <x:row r="15" ht="44" hidden="0" customHeight="1">
      <x:c r="A15" s="38" t="str">
        <x:v>Tarea</x:v>
      </x:c>
      <x:c r="B15" s="38" t="str">
        <x:v>I3</x:v>
      </x:c>
      <x:c r="C15" s="19" t="str">
        <x:v>Task I3 - Exportar bancos en formatos editables</x:v>
      </x:c>
      <x:c r="D15" s="19" t="str">
        <x:v>El docente exporta el mismo conjunto filtrado a CSV o XLSX con columnas de la plantilla.</x:v>
      </x:c>
      <x:c r="E15" s="20" t="n">
        <x:f>ROUND(E16+E17,2)</x:f>
        <x:v>4</x:v>
      </x:c>
      <x:c r="F15" s="20" t="n">
        <x:f>ROUND(F16+F17,2)</x:f>
        <x:v>6.5</x:v>
      </x:c>
      <x:c r="G15" s="20" t="n">
        <x:f>ROUND(G16+G17,2)</x:f>
        <x:v>11</x:v>
      </x:c>
      <x:c r="H15" s="20" t="n">
        <x:f>ROUND(H16+H17,2)</x:f>
        <x:v>6.83</x:v>
      </x:c>
      <x:c r="I15" s="20" t="n">
        <x:f>ROUND(SQRT(I16^2+I17^2),2)</x:f>
        <x:v>0.86</x:v>
      </x:c>
      <x:c r="J15" s="19" t="str">
        <x:v>Agregado de subtareas</x:v>
      </x:c>
      <x:c r="K15" s="19" t="str">
        <x:v>Procesamiento de cargas CSV y XLSX</x:v>
      </x:c>
    </x:row>
    <x:row r="16" ht="44" hidden="0" customHeight="1">
      <x:c r="A16" s="39" t="str">
        <x:v>Subtarea</x:v>
      </x:c>
      <x:c r="B16" s="39" t="str">
        <x:v>I3.1</x:v>
      </x:c>
      <x:c r="C16" s="31" t="str">
        <x:v>Subtask I3.1 - Generar exportación CSV con codificación UTF-8</x:v>
      </x:c>
      <x:c r="D16" s="31" t="str">
        <x:v>Excel abre el CSV sin perder tildes y cada pregunta ocupa una fila.</x:v>
      </x:c>
      <x:c r="E16" s="35" t="n">
        <x:v>1.5</x:v>
      </x:c>
      <x:c r="F16" s="35" t="n">
        <x:v>2.5</x:v>
      </x:c>
      <x:c r="G16" s="35" t="n">
        <x:v>4</x:v>
      </x:c>
      <x:c r="H16" s="36" t="n">
        <x:f>ROUND((E16+4*F16+G16)/6,2)</x:f>
        <x:v>2.58</x:v>
      </x:c>
      <x:c r="I16" s="36" t="n">
        <x:f>ROUND((G16-E16)/6,2)</x:f>
        <x:v>0.42</x:v>
      </x:c>
      <x:c r="J16" s="31" t="str">
        <x:v>Analogía: exportación JSON existente</x:v>
      </x:c>
      <x:c r="K16" s="31" t="str">
        <x:v>Lectura segura de CSV</x:v>
      </x:c>
    </x:row>
    <x:row r="17" ht="44" hidden="0" customHeight="1">
      <x:c r="A17" s="39" t="str">
        <x:v>Subtarea</x:v>
      </x:c>
      <x:c r="B17" s="39" t="str">
        <x:v>I3.2</x:v>
      </x:c>
      <x:c r="C17" s="31" t="str">
        <x:v>Subtask I3.2 - Generar exportación XLSX con filtros aplicados</x:v>
      </x:c>
      <x:c r="D17" s="31" t="str">
        <x:v>El archivo contiene solo el conjunto visible y conserva opciones y metadatos.</x:v>
      </x:c>
      <x:c r="E17" s="35" t="n">
        <x:v>2.5</x:v>
      </x:c>
      <x:c r="F17" s="35" t="n">
        <x:v>4</x:v>
      </x:c>
      <x:c r="G17" s="35" t="n">
        <x:v>7</x:v>
      </x:c>
      <x:c r="H17" s="36" t="n">
        <x:f>ROUND((E17+4*F17+G17)/6,2)</x:f>
        <x:v>4.25</x:v>
      </x:c>
      <x:c r="I17" s="36" t="n">
        <x:f>ROUND((G17-E17)/6,2)</x:f>
        <x:v>0.75</x:v>
      </x:c>
      <x:c r="J17" s="31" t="str">
        <x:v>Juicio técnico: exportación XLSX</x:v>
      </x:c>
      <x:c r="K17" s="31" t="str">
        <x:v>Lectura acotada de XLSX</x:v>
      </x:c>
    </x:row>
    <x:row r="18" ht="44" hidden="0" customHeight="1">
      <x:c r="A18" s="38" t="str">
        <x:v>Tarea</x:v>
      </x:c>
      <x:c r="B18" s="38" t="str">
        <x:v>I10</x:v>
      </x:c>
      <x:c r="C18" s="19" t="str">
        <x:v>Task I10 - Proteger y auditar la importación</x:v>
      </x:c>
      <x:c r="D18" s="19" t="str">
        <x:v>La carga bloquea contenido peligroso, limita abuso y deja una traza consultable del lote.</x:v>
      </x:c>
      <x:c r="E18" s="20" t="n">
        <x:f>ROUND(E19+E20,2)</x:f>
        <x:v>4.5</x:v>
      </x:c>
      <x:c r="F18" s="20" t="n">
        <x:f>ROUND(F19+F20,2)</x:f>
        <x:v>7.5</x:v>
      </x:c>
      <x:c r="G18" s="20" t="n">
        <x:f>ROUND(G19+G20,2)</x:f>
        <x:v>13</x:v>
      </x:c>
      <x:c r="H18" s="20" t="n">
        <x:f>ROUND(H19+H20,2)</x:f>
        <x:v>7.92</x:v>
      </x:c>
      <x:c r="I18" s="20" t="n">
        <x:f>ROUND(SQRT(I19^2+I20^2),2)</x:f>
        <x:v>1.01</x:v>
      </x:c>
      <x:c r="J18" s="19" t="str">
        <x:v>Agregado de subtareas</x:v>
      </x:c>
      <x:c r="K18" s="19" t="str">
        <x:v>Procesamiento de cargas CSV y XLSX</x:v>
      </x:c>
    </x:row>
    <x:row r="19" ht="44" hidden="0" customHeight="1">
      <x:c r="A19" s="39" t="str">
        <x:v>Subtarea</x:v>
      </x:c>
      <x:c r="B19" s="39" t="str">
        <x:v>I10.1</x:v>
      </x:c>
      <x:c r="C19" s="31" t="str">
        <x:v>Subtask I10.1 - Sanear contenido y bloquear fórmulas inyectadas</x:v>
      </x:c>
      <x:c r="D19" s="31" t="str">
        <x:v>Las celdas que empiezan como fórmula se tratan como texto y los archivos no permitidos se rechazan.</x:v>
      </x:c>
      <x:c r="E19" s="35" t="n">
        <x:v>2.5</x:v>
      </x:c>
      <x:c r="F19" s="35" t="n">
        <x:v>4</x:v>
      </x:c>
      <x:c r="G19" s="35" t="n">
        <x:v>7</x:v>
      </x:c>
      <x:c r="H19" s="36" t="n">
        <x:f>ROUND((E19+4*F19+G19)/6,2)</x:f>
        <x:v>4.25</x:v>
      </x:c>
      <x:c r="I19" s="36" t="n">
        <x:f>ROUND((G19-E19)/6,2)</x:f>
        <x:v>0.75</x:v>
      </x:c>
      <x:c r="J19" s="31" t="str">
        <x:v>Juicio técnico: seguridad de archivos</x:v>
      </x:c>
      <x:c r="K19" s="31" t="str">
        <x:v>Lectura segura de CSV y XLSX</x:v>
      </x:c>
    </x:row>
    <x:row r="20" ht="44" hidden="0" customHeight="1">
      <x:c r="A20" s="39" t="str">
        <x:v>Subtarea</x:v>
      </x:c>
      <x:c r="B20" s="39" t="str">
        <x:v>I10.2</x:v>
      </x:c>
      <x:c r="C20" s="31" t="str">
        <x:v>Subtask I10.2 - Registrar auditoría y límite de importaciones</x:v>
      </x:c>
      <x:c r="D20" s="31" t="str">
        <x:v>Cada lote guarda usuario, fecha, formato, resultado y aplica el límite configurado por usuario.</x:v>
      </x:c>
      <x:c r="E20" s="35" t="n">
        <x:v>2</x:v>
      </x:c>
      <x:c r="F20" s="35" t="n">
        <x:v>3.5</x:v>
      </x:c>
      <x:c r="G20" s="35" t="n">
        <x:v>6</x:v>
      </x:c>
      <x:c r="H20" s="36" t="n">
        <x:f>ROUND((E20+4*F20+G20)/6,2)</x:f>
        <x:v>3.67</x:v>
      </x:c>
      <x:c r="I20" s="36" t="n">
        <x:f>ROUND((G20-E20)/6,2)</x:f>
        <x:v>0.67</x:v>
      </x:c>
      <x:c r="J20" s="31" t="str">
        <x:v>Analogía: controles de autenticación PAE</x:v>
      </x:c>
      <x:c r="K20" s="31" t="str">
        <x:v>Saneamiento de contenido</x:v>
      </x:c>
    </x:row>
    <x:row r="21" ht="44" hidden="0" customHeight="1">
      <x:c r="A21" s="37" t="str">
        <x:v>Requisito</x:v>
      </x:c>
      <x:c r="B21" s="37" t="str">
        <x:v>RQ22</x:v>
      </x:c>
      <x:c r="C21" s="17" t="str">
        <x:v>Preguntas de opción múltiple y abiertas</x:v>
      </x:c>
      <x:c r="D21" s="17" t="str">
        <x:v>La importación valida reglas diferentes por tipo y no guarda preguntas inconsistentes.</x:v>
      </x:c>
      <x:c r="E21" s="18" t="n">
        <x:f>ROUND(E22+E25+E28,2)</x:f>
        <x:v>12</x:v>
      </x:c>
      <x:c r="F21" s="18" t="n">
        <x:f>ROUND(F22+F25+F28,2)</x:f>
        <x:v>19.5</x:v>
      </x:c>
      <x:c r="G21" s="18" t="n">
        <x:f>ROUND(G22+G25+G28,2)</x:f>
        <x:v>33.5</x:v>
      </x:c>
      <x:c r="H21" s="18" t="n">
        <x:f>ROUND(H22+H25+H28,2)</x:f>
        <x:v>20.59</x:v>
      </x:c>
      <x:c r="I21" s="18" t="n">
        <x:f>ROUND(SQRT(I22^2+I25^2+I28^2),2)</x:f>
        <x:v>1.5</x:v>
      </x:c>
      <x:c r="J21" s="17" t="str">
        <x:v>Agregado de tareas</x:v>
      </x:c>
      <x:c r="K21" s="17" t="str">
        <x:v>Contrato de archivos</x:v>
      </x:c>
    </x:row>
    <x:row r="22" ht="44" hidden="0" customHeight="1">
      <x:c r="A22" s="38" t="str">
        <x:v>Tarea</x:v>
      </x:c>
      <x:c r="B22" s="38" t="str">
        <x:v>I4</x:v>
      </x:c>
      <x:c r="C22" s="19" t="str">
        <x:v>Task I4 - Normalizar filas según el tipo de pregunta</x:v>
      </x:c>
      <x:c r="D22" s="19" t="str">
        <x:v>Cada fila se convierte al modelo PAE correcto para opción múltiple o abierta.</x:v>
      </x:c>
      <x:c r="E22" s="20" t="n">
        <x:f>ROUND(E23+E24,2)</x:f>
        <x:v>3.5</x:v>
      </x:c>
      <x:c r="F22" s="20" t="n">
        <x:f>ROUND(F23+F24,2)</x:f>
        <x:v>5.5</x:v>
      </x:c>
      <x:c r="G22" s="20" t="n">
        <x:f>ROUND(G23+G24,2)</x:f>
        <x:v>9.5</x:v>
      </x:c>
      <x:c r="H22" s="20" t="n">
        <x:f>ROUND(H23+H24,2)</x:f>
        <x:v>5.84</x:v>
      </x:c>
      <x:c r="I22" s="20" t="n">
        <x:f>ROUND(SQRT(I23^2+I24^2),2)</x:f>
        <x:v>0.71</x:v>
      </x:c>
      <x:c r="J22" s="19" t="str">
        <x:v>Agregado de subtareas</x:v>
      </x:c>
      <x:c r="K22" s="19" t="str">
        <x:v>RQ22 - Tipos de pregunta</x:v>
      </x:c>
    </x:row>
    <x:row r="23" ht="44" hidden="0" customHeight="1">
      <x:c r="A23" s="39" t="str">
        <x:v>Subtarea</x:v>
      </x:c>
      <x:c r="B23" s="39" t="str">
        <x:v>I4.1</x:v>
      </x:c>
      <x:c r="C23" s="31" t="str">
        <x:v>Subtask I4.1 - Mapear opción múltiple y respuesta correcta</x:v>
      </x:c>
      <x:c r="D23" s="31" t="str">
        <x:v>Exige al menos dos opciones y una respuesta que exista dentro de ellas.</x:v>
      </x:c>
      <x:c r="E23" s="35" t="n">
        <x:v>2</x:v>
      </x:c>
      <x:c r="F23" s="35" t="n">
        <x:v>3</x:v>
      </x:c>
      <x:c r="G23" s="35" t="n">
        <x:v>5</x:v>
      </x:c>
      <x:c r="H23" s="36" t="n">
        <x:f>ROUND((E23+4*F23+G23)/6,2)</x:f>
        <x:v>3.17</x:v>
      </x:c>
      <x:c r="I23" s="36" t="n">
        <x:f>ROUND((G23-E23)/6,2)</x:f>
        <x:v>0.5</x:v>
      </x:c>
      <x:c r="J23" s="31" t="str">
        <x:v>Analogía: creación manual de preguntas</x:v>
      </x:c>
      <x:c r="K23" s="31" t="str">
        <x:v>Procesamiento de cargas</x:v>
      </x:c>
    </x:row>
    <x:row r="24" ht="44" hidden="0" customHeight="1">
      <x:c r="A24" s="39" t="str">
        <x:v>Subtarea</x:v>
      </x:c>
      <x:c r="B24" s="39" t="str">
        <x:v>I4.2</x:v>
      </x:c>
      <x:c r="C24" s="31" t="str">
        <x:v>Subtask I4.2 - Mapear pregunta abierta y respuesta de referencia</x:v>
      </x:c>
      <x:c r="D24" s="31" t="str">
        <x:v>No exige opciones y conserva respuesta textual y explicación cuando están presentes.</x:v>
      </x:c>
      <x:c r="E24" s="35" t="n">
        <x:v>1.5</x:v>
      </x:c>
      <x:c r="F24" s="35" t="n">
        <x:v>2.5</x:v>
      </x:c>
      <x:c r="G24" s="35" t="n">
        <x:v>4.5</x:v>
      </x:c>
      <x:c r="H24" s="36" t="n">
        <x:f>ROUND((E24+4*F24+G24)/6,2)</x:f>
        <x:v>2.67</x:v>
      </x:c>
      <x:c r="I24" s="36" t="n">
        <x:f>ROUND((G24-E24)/6,2)</x:f>
        <x:v>0.5</x:v>
      </x:c>
      <x:c r="J24" s="31" t="str">
        <x:v>Analogía: Question y OpenAnswerReview</x:v>
      </x:c>
      <x:c r="K24" s="31" t="str">
        <x:v>Mapeo de opción múltiple</x:v>
      </x:c>
    </x:row>
    <x:row r="25" ht="44" hidden="0" customHeight="1">
      <x:c r="A25" s="38" t="str">
        <x:v>Tarea</x:v>
      </x:c>
      <x:c r="B25" s="38" t="str">
        <x:v>I5</x:v>
      </x:c>
      <x:c r="C25" s="19" t="str">
        <x:v>Task I5 - Validar el lote antes de guardar</x:v>
      </x:c>
      <x:c r="D25" s="19" t="str">
        <x:v>La validación informa fila, columna, código y mensaje para cada error.</x:v>
      </x:c>
      <x:c r="E25" s="20" t="n">
        <x:f>ROUND(E26+E27,2)</x:f>
        <x:v>4.5</x:v>
      </x:c>
      <x:c r="F25" s="20" t="n">
        <x:f>ROUND(F26+F27,2)</x:f>
        <x:v>7.5</x:v>
      </x:c>
      <x:c r="G25" s="20" t="n">
        <x:f>ROUND(G26+G27,2)</x:f>
        <x:v>13</x:v>
      </x:c>
      <x:c r="H25" s="20" t="n">
        <x:f>ROUND(H26+H27,2)</x:f>
        <x:v>7.92</x:v>
      </x:c>
      <x:c r="I25" s="20" t="n">
        <x:f>ROUND(SQRT(I26^2+I27^2),2)</x:f>
        <x:v>1.01</x:v>
      </x:c>
      <x:c r="J25" s="19" t="str">
        <x:v>Agregado de subtareas</x:v>
      </x:c>
      <x:c r="K25" s="19" t="str">
        <x:v>Normalización por tipo de pregunta</x:v>
      </x:c>
    </x:row>
    <x:row r="26" ht="44" hidden="0" customHeight="1">
      <x:c r="A26" s="39" t="str">
        <x:v>Subtarea</x:v>
      </x:c>
      <x:c r="B26" s="39" t="str">
        <x:v>I5.1</x:v>
      </x:c>
      <x:c r="C26" s="31" t="str">
        <x:v>Subtask I5.1 - Detectar campos, tipos y valores inválidos</x:v>
      </x:c>
      <x:c r="D26" s="31" t="str">
        <x:v>Los errores de cabecera, vacío, dificultad y respuesta se reportan sin guardar datos.</x:v>
      </x:c>
      <x:c r="E26" s="35" t="n">
        <x:v>2.5</x:v>
      </x:c>
      <x:c r="F26" s="35" t="n">
        <x:v>4</x:v>
      </x:c>
      <x:c r="G26" s="35" t="n">
        <x:v>7</x:v>
      </x:c>
      <x:c r="H26" s="36" t="n">
        <x:f>ROUND((E26+4*F26+G26)/6,2)</x:f>
        <x:v>4.25</x:v>
      </x:c>
      <x:c r="I26" s="36" t="n">
        <x:f>ROUND((G26-E26)/6,2)</x:f>
        <x:v>0.75</x:v>
      </x:c>
      <x:c r="J26" s="31" t="str">
        <x:v>Juicio técnico: validación por lote</x:v>
      </x:c>
      <x:c r="K26" s="31" t="str">
        <x:v>Mapeo de pregunta abierta</x:v>
      </x:c>
    </x:row>
    <x:row r="27" ht="44" hidden="0" customHeight="1">
      <x:c r="A27" s="39" t="str">
        <x:v>Subtarea</x:v>
      </x:c>
      <x:c r="B27" s="39" t="str">
        <x:v>I5.2</x:v>
      </x:c>
      <x:c r="C27" s="31" t="str">
        <x:v>Subtask I5.2 - Detectar duplicados dentro del archivo y del banco</x:v>
      </x:c>
      <x:c r="D27" s="31" t="str">
        <x:v>El reporte separa duplicados del archivo y coincidencias con preguntas activas.</x:v>
      </x:c>
      <x:c r="E27" s="35" t="n">
        <x:v>2</x:v>
      </x:c>
      <x:c r="F27" s="35" t="n">
        <x:v>3.5</x:v>
      </x:c>
      <x:c r="G27" s="35" t="n">
        <x:v>6</x:v>
      </x:c>
      <x:c r="H27" s="36" t="n">
        <x:f>ROUND((E27+4*F27+G27)/6,2)</x:f>
        <x:v>3.67</x:v>
      </x:c>
      <x:c r="I27" s="36" t="n">
        <x:f>ROUND((G27-E27)/6,2)</x:f>
        <x:v>0.67</x:v>
      </x:c>
      <x:c r="J27" s="31" t="str">
        <x:v>Juicio técnico: comparación normalizada</x:v>
      </x:c>
      <x:c r="K27" s="31" t="str">
        <x:v>Validación de valores</x:v>
      </x:c>
    </x:row>
    <x:row r="28" ht="44" hidden="0" customHeight="1">
      <x:c r="A28" s="38" t="str">
        <x:v>Tarea</x:v>
      </x:c>
      <x:c r="B28" s="38" t="str">
        <x:v>I6</x:v>
      </x:c>
      <x:c r="C28" s="19" t="str">
        <x:v>Task I6 - Persistir el lote de forma transaccional</x:v>
      </x:c>
      <x:c r="D28" s="19" t="str">
        <x:v>Confirmar crea todas las preguntas válidas una sola vez o revierte el lote completo.</x:v>
      </x:c>
      <x:c r="E28" s="20" t="n">
        <x:f>ROUND(E29+E30,2)</x:f>
        <x:v>4</x:v>
      </x:c>
      <x:c r="F28" s="20" t="n">
        <x:f>ROUND(F29+F30,2)</x:f>
        <x:v>6.5</x:v>
      </x:c>
      <x:c r="G28" s="20" t="n">
        <x:f>ROUND(G29+G30,2)</x:f>
        <x:v>11</x:v>
      </x:c>
      <x:c r="H28" s="20" t="n">
        <x:f>ROUND(H29+H30,2)</x:f>
        <x:v>6.83</x:v>
      </x:c>
      <x:c r="I28" s="20" t="n">
        <x:f>ROUND(SQRT(I29^2+I30^2),2)</x:f>
        <x:v>0.86</x:v>
      </x:c>
      <x:c r="J28" s="19" t="str">
        <x:v>Agregado de subtareas</x:v>
      </x:c>
      <x:c r="K28" s="19" t="str">
        <x:v>Validación del lote antes de guardar</x:v>
      </x:c>
    </x:row>
    <x:row r="29" ht="44" hidden="0" customHeight="1">
      <x:c r="A29" s="39" t="str">
        <x:v>Subtarea</x:v>
      </x:c>
      <x:c r="B29" s="39" t="str">
        <x:v>I6.1</x:v>
      </x:c>
      <x:c r="C29" s="31" t="str">
        <x:v>Subtask I6.1 - Crear transacción e idempotencia de importación</x:v>
      </x:c>
      <x:c r="D29" s="31" t="str">
        <x:v>Reenviar el mismo identificador de lote no duplica preguntas.</x:v>
      </x:c>
      <x:c r="E29" s="35" t="n">
        <x:v>2.5</x:v>
      </x:c>
      <x:c r="F29" s="35" t="n">
        <x:v>4</x:v>
      </x:c>
      <x:c r="G29" s="35" t="n">
        <x:v>7</x:v>
      </x:c>
      <x:c r="H29" s="36" t="n">
        <x:f>ROUND((E29+4*F29+G29)/6,2)</x:f>
        <x:v>4.25</x:v>
      </x:c>
      <x:c r="I29" s="36" t="n">
        <x:f>ROUND((G29-E29)/6,2)</x:f>
        <x:v>0.75</x:v>
      </x:c>
      <x:c r="J29" s="31" t="str">
        <x:v>Juicio técnico: transacciones Sequelize</x:v>
      </x:c>
      <x:c r="K29" s="31" t="str">
        <x:v>Detección de duplicados</x:v>
      </x:c>
    </x:row>
    <x:row r="30" ht="44" hidden="0" customHeight="1">
      <x:c r="A30" s="39" t="str">
        <x:v>Subtarea</x:v>
      </x:c>
      <x:c r="B30" s="39" t="str">
        <x:v>I6.2</x:v>
      </x:c>
      <x:c r="C30" s="31" t="str">
        <x:v>Subtask I6.2 - Devolver resumen de confirmación</x:v>
      </x:c>
      <x:c r="D30" s="31" t="str">
        <x:v>La respuesta incluye creadas, omitidas, rechazadas y errores por fila.</x:v>
      </x:c>
      <x:c r="E30" s="35" t="n">
        <x:v>1.5</x:v>
      </x:c>
      <x:c r="F30" s="35" t="n">
        <x:v>2.5</x:v>
      </x:c>
      <x:c r="G30" s="35" t="n">
        <x:v>4</x:v>
      </x:c>
      <x:c r="H30" s="36" t="n">
        <x:f>ROUND((E30+4*F30+G30)/6,2)</x:f>
        <x:v>2.58</x:v>
      </x:c>
      <x:c r="I30" s="36" t="n">
        <x:f>ROUND((G30-E30)/6,2)</x:f>
        <x:v>0.42</x:v>
      </x:c>
      <x:c r="J30" s="31" t="str">
        <x:v>Analogía: respuesta importQuestions</x:v>
      </x:c>
      <x:c r="K30" s="31" t="str">
        <x:v>Transacción de importación</x:v>
      </x:c>
    </x:row>
    <x:row r="31" ht="44" hidden="0" customHeight="1">
      <x:c r="A31" s="37" t="str">
        <x:v>Requisito</x:v>
      </x:c>
      <x:c r="B31" s="37" t="str">
        <x:v>RQ72</x:v>
      </x:c>
      <x:c r="C31" s="17" t="str">
        <x:v>Categorizar preguntas por materia, tema y universidad</x:v>
      </x:c>
      <x:c r="D31" s="17" t="str">
        <x:v>La vista previa resuelve categorías válidas y bloquea la confirmación de filas no mapeadas.</x:v>
      </x:c>
      <x:c r="E31" s="18" t="n">
        <x:f>ROUND(E32+E35+E38,2)</x:f>
        <x:v>13.5</x:v>
      </x:c>
      <x:c r="F31" s="18" t="n">
        <x:f>ROUND(F32+F35+F38,2)</x:f>
        <x:v>22</x:v>
      </x:c>
      <x:c r="G31" s="18" t="n">
        <x:f>ROUND(G32+G35+G38,2)</x:f>
        <x:v>36</x:v>
      </x:c>
      <x:c r="H31" s="18" t="n">
        <x:f>ROUND(H32+H35+H38,2)</x:f>
        <x:v>22.92</x:v>
      </x:c>
      <x:c r="I31" s="18" t="n">
        <x:f>ROUND(SQRT(I32^2+I35^2+I38^2),2)</x:f>
        <x:v>1.59</x:v>
      </x:c>
      <x:c r="J31" s="17" t="str">
        <x:v>Agregado de tareas</x:v>
      </x:c>
      <x:c r="K31" s="17" t="str">
        <x:v>Catálogos del banco de preguntas</x:v>
      </x:c>
    </x:row>
    <x:row r="32" ht="44" hidden="0" customHeight="1">
      <x:c r="A32" s="38" t="str">
        <x:v>Tarea</x:v>
      </x:c>
      <x:c r="B32" s="38" t="str">
        <x:v>I7</x:v>
      </x:c>
      <x:c r="C32" s="19" t="str">
        <x:v>Task I7 - Resolver y validar metadatos del banco</x:v>
      </x:c>
      <x:c r="D32" s="19" t="str">
        <x:v>Materia, tema, dificultad y universidad quedan normalizados contra catálogos permitidos.</x:v>
      </x:c>
      <x:c r="E32" s="20" t="n">
        <x:f>ROUND(E33+E34,2)</x:f>
        <x:v>3</x:v>
      </x:c>
      <x:c r="F32" s="20" t="n">
        <x:f>ROUND(F33+F34,2)</x:f>
        <x:v>5</x:v>
      </x:c>
      <x:c r="G32" s="20" t="n">
        <x:f>ROUND(G33+G34,2)</x:f>
        <x:v>8.5</x:v>
      </x:c>
      <x:c r="H32" s="20" t="n">
        <x:f>ROUND(H33+H34,2)</x:f>
        <x:v>5.25</x:v>
      </x:c>
      <x:c r="I32" s="20" t="n">
        <x:f>ROUND(SQRT(I33^2+I34^2),2)</x:f>
        <x:v>0.65</x:v>
      </x:c>
      <x:c r="J32" s="19" t="str">
        <x:v>Agregado de subtareas</x:v>
      </x:c>
      <x:c r="K32" s="19" t="str">
        <x:v>RQ72 - Categorización</x:v>
      </x:c>
    </x:row>
    <x:row r="33" ht="44" hidden="0" customHeight="1">
      <x:c r="A33" s="39" t="str">
        <x:v>Subtarea</x:v>
      </x:c>
      <x:c r="B33" s="39" t="str">
        <x:v>I7.1</x:v>
      </x:c>
      <x:c r="C33" s="31" t="str">
        <x:v>Subtask I7.1 - Mapear universidad por identificador o slug</x:v>
      </x:c>
      <x:c r="D33" s="31" t="str">
        <x:v>Un valor conocido resuelve una universidad y uno desconocido queda marcado para corrección.</x:v>
      </x:c>
      <x:c r="E33" s="35" t="n">
        <x:v>1.5</x:v>
      </x:c>
      <x:c r="F33" s="35" t="n">
        <x:v>2.5</x:v>
      </x:c>
      <x:c r="G33" s="35" t="n">
        <x:v>4.5</x:v>
      </x:c>
      <x:c r="H33" s="36" t="n">
        <x:f>ROUND((E33+4*F33+G33)/6,2)</x:f>
        <x:v>2.67</x:v>
      </x:c>
      <x:c r="I33" s="36" t="n">
        <x:f>ROUND((G33-E33)/6,2)</x:f>
        <x:v>0.5</x:v>
      </x:c>
      <x:c r="J33" s="31" t="str">
        <x:v>Analogía: modelo University existente</x:v>
      </x:c>
      <x:c r="K33" s="31" t="str">
        <x:v>Validación del lote</x:v>
      </x:c>
    </x:row>
    <x:row r="34" ht="44" hidden="0" customHeight="1">
      <x:c r="A34" s="39" t="str">
        <x:v>Subtarea</x:v>
      </x:c>
      <x:c r="B34" s="39" t="str">
        <x:v>I7.2</x:v>
      </x:c>
      <x:c r="C34" s="31" t="str">
        <x:v>Subtask I7.2 - Normalizar materia, tema y dificultad</x:v>
      </x:c>
      <x:c r="D34" s="31" t="str">
        <x:v>Espacios y mayúsculas no crean categorías duplicadas y la dificultad queda en el catálogo.</x:v>
      </x:c>
      <x:c r="E34" s="35" t="n">
        <x:v>1.5</x:v>
      </x:c>
      <x:c r="F34" s="35" t="n">
        <x:v>2.5</x:v>
      </x:c>
      <x:c r="G34" s="35" t="n">
        <x:v>4</x:v>
      </x:c>
      <x:c r="H34" s="36" t="n">
        <x:f>ROUND((E34+4*F34+G34)/6,2)</x:f>
        <x:v>2.58</x:v>
      </x:c>
      <x:c r="I34" s="36" t="n">
        <x:f>ROUND((G34-E34)/6,2)</x:f>
        <x:v>0.42</x:v>
      </x:c>
      <x:c r="J34" s="31" t="str">
        <x:v>Juicio técnico: normalización textual</x:v>
      </x:c>
      <x:c r="K34" s="31" t="str">
        <x:v>Mapeo de universidad</x:v>
      </x:c>
    </x:row>
    <x:row r="35" ht="44" hidden="0" customHeight="1">
      <x:c r="A35" s="38" t="str">
        <x:v>Tarea</x:v>
      </x:c>
      <x:c r="B35" s="38" t="str">
        <x:v>I8</x:v>
      </x:c>
      <x:c r="C35" s="19" t="str">
        <x:v>Task I8 - Construir vista previa corregible</x:v>
      </x:c>
      <x:c r="D35" s="19" t="str">
        <x:v>El docente revisa todas las filas, filtra errores y corrige celdas antes de confirmar.</x:v>
      </x:c>
      <x:c r="E35" s="20" t="n">
        <x:f>ROUND(E36+E37,2)</x:f>
        <x:v>6</x:v>
      </x:c>
      <x:c r="F35" s="20" t="n">
        <x:f>ROUND(F36+F37,2)</x:f>
        <x:v>10</x:v>
      </x:c>
      <x:c r="G35" s="20" t="n">
        <x:f>ROUND(G36+G37,2)</x:f>
        <x:v>16</x:v>
      </x:c>
      <x:c r="H35" s="20" t="n">
        <x:f>ROUND(H36+H37,2)</x:f>
        <x:v>10.34</x:v>
      </x:c>
      <x:c r="I35" s="20" t="n">
        <x:f>ROUND(SQRT(I36^2+I37^2),2)</x:f>
        <x:v>1.17</x:v>
      </x:c>
      <x:c r="J35" s="19" t="str">
        <x:v>Agregado de subtareas</x:v>
      </x:c>
      <x:c r="K35" s="19" t="str">
        <x:v>Resolución y validación de metadatos</x:v>
      </x:c>
    </x:row>
    <x:row r="36" ht="44" hidden="0" customHeight="1">
      <x:c r="A36" s="39" t="str">
        <x:v>Subtarea</x:v>
      </x:c>
      <x:c r="B36" s="39" t="str">
        <x:v>I8.1</x:v>
      </x:c>
      <x:c r="C36" s="31" t="str">
        <x:v>Subtask I8.1 - Mostrar tabla de vista previa con estado por fila</x:v>
      </x:c>
      <x:c r="D36" s="31" t="str">
        <x:v>Cada fila indica válida, advertencia o error y muestra el mensaje exacto.</x:v>
      </x:c>
      <x:c r="E36" s="35" t="n">
        <x:v>3</x:v>
      </x:c>
      <x:c r="F36" s="35" t="n">
        <x:v>5</x:v>
      </x:c>
      <x:c r="G36" s="35" t="n">
        <x:v>8</x:v>
      </x:c>
      <x:c r="H36" s="36" t="n">
        <x:f>ROUND((E36+4*F36+G36)/6,2)</x:f>
        <x:v>5.17</x:v>
      </x:c>
      <x:c r="I36" s="36" t="n">
        <x:f>ROUND((G36-E36)/6,2)</x:f>
        <x:v>0.83</x:v>
      </x:c>
      <x:c r="J36" s="31" t="str">
        <x:v>Juicio técnico: nueva tabla editable</x:v>
      </x:c>
      <x:c r="K36" s="31" t="str">
        <x:v>Normalización de metadatos</x:v>
      </x:c>
    </x:row>
    <x:row r="37" ht="44" hidden="0" customHeight="1">
      <x:c r="A37" s="39" t="str">
        <x:v>Subtarea</x:v>
      </x:c>
      <x:c r="B37" s="39" t="str">
        <x:v>I8.2</x:v>
      </x:c>
      <x:c r="C37" s="31" t="str">
        <x:v>Subtask I8.2 - Permitir corregir y volver a validar</x:v>
      </x:c>
      <x:c r="D37" s="31" t="str">
        <x:v>Editar una celda recalcula solo la fila y actualiza el total confirmable.</x:v>
      </x:c>
      <x:c r="E37" s="35" t="n">
        <x:v>3</x:v>
      </x:c>
      <x:c r="F37" s="35" t="n">
        <x:v>5</x:v>
      </x:c>
      <x:c r="G37" s="35" t="n">
        <x:v>8</x:v>
      </x:c>
      <x:c r="H37" s="36" t="n">
        <x:f>ROUND((E37+4*F37+G37)/6,2)</x:f>
        <x:v>5.17</x:v>
      </x:c>
      <x:c r="I37" s="36" t="n">
        <x:f>ROUND((G37-E37)/6,2)</x:f>
        <x:v>0.83</x:v>
      </x:c>
      <x:c r="J37" s="31" t="str">
        <x:v>Juicio técnico: edición reactiva</x:v>
      </x:c>
      <x:c r="K37" s="31" t="str">
        <x:v>Tabla de vista previa</x:v>
      </x:c>
    </x:row>
    <x:row r="38" ht="44" hidden="0" customHeight="1">
      <x:c r="A38" s="38" t="str">
        <x:v>Tarea</x:v>
      </x:c>
      <x:c r="B38" s="38" t="str">
        <x:v>I9</x:v>
      </x:c>
      <x:c r="C38" s="19" t="str">
        <x:v>Task I9 - Cerrar verificación y documentación</x:v>
      </x:c>
      <x:c r="D38" s="19" t="str">
        <x:v>Pruebas y guía demuestran importación, corrección, confirmación y exportación en ambos formatos.</x:v>
      </x:c>
      <x:c r="E38" s="20" t="n">
        <x:f>ROUND(E39+E40,2)</x:f>
        <x:v>4.5</x:v>
      </x:c>
      <x:c r="F38" s="20" t="n">
        <x:f>ROUND(F39+F40,2)</x:f>
        <x:v>7</x:v>
      </x:c>
      <x:c r="G38" s="20" t="n">
        <x:f>ROUND(G39+G40,2)</x:f>
        <x:v>11.5</x:v>
      </x:c>
      <x:c r="H38" s="20" t="n">
        <x:f>ROUND(H39+H40,2)</x:f>
        <x:v>7.33</x:v>
      </x:c>
      <x:c r="I38" s="20" t="n">
        <x:f>ROUND(SQRT(I39^2+I40^2),2)</x:f>
        <x:v>0.86</x:v>
      </x:c>
      <x:c r="J38" s="19" t="str">
        <x:v>Agregado de subtareas</x:v>
      </x:c>
      <x:c r="K38" s="19" t="str">
        <x:v>Vista previa corregible</x:v>
      </x:c>
    </x:row>
    <x:row r="39" ht="44" hidden="0" customHeight="1">
      <x:c r="A39" s="39" t="str">
        <x:v>Subtarea</x:v>
      </x:c>
      <x:c r="B39" s="39" t="str">
        <x:v>I9.1</x:v>
      </x:c>
      <x:c r="C39" s="31" t="str">
        <x:v>Subtask I9.1 - Automatizar pruebas con archivos válidos y dañados</x:v>
      </x:c>
      <x:c r="D39" s="31" t="str">
        <x:v>La suite cubre CSV/XLSX válidos, cabeceras faltantes, duplicados, macros y límite de tamaño.</x:v>
      </x:c>
      <x:c r="E39" s="35" t="n">
        <x:v>3</x:v>
      </x:c>
      <x:c r="F39" s="35" t="n">
        <x:v>4.5</x:v>
      </x:c>
      <x:c r="G39" s="35" t="n">
        <x:v>7.5</x:v>
      </x:c>
      <x:c r="H39" s="36" t="n">
        <x:f>ROUND((E39+4*F39+G39)/6,2)</x:f>
        <x:v>4.75</x:v>
      </x:c>
      <x:c r="I39" s="36" t="n">
        <x:f>ROUND((G39-E39)/6,2)</x:f>
        <x:v>0.75</x:v>
      </x:c>
      <x:c r="J39" s="31" t="str">
        <x:v>Analogía: fixtures y pruebas PAE</x:v>
      </x:c>
      <x:c r="K39" s="31" t="str">
        <x:v>Corrección y revalidación</x:v>
      </x:c>
    </x:row>
    <x:row r="40" ht="44" hidden="0" customHeight="1">
      <x:c r="A40" s="39" t="str">
        <x:v>Subtarea</x:v>
      </x:c>
      <x:c r="B40" s="39" t="str">
        <x:v>I9.2</x:v>
      </x:c>
      <x:c r="C40" s="31" t="str">
        <x:v>Subtask I9.2 - Documentar plantilla y recuperación de errores</x:v>
      </x:c>
      <x:c r="D40" s="31" t="str">
        <x:v>La guía explica columnas, límites, mensajes y pasos para corregir y reintentar.</x:v>
      </x:c>
      <x:c r="E40" s="35" t="n">
        <x:v>1.5</x:v>
      </x:c>
      <x:c r="F40" s="35" t="n">
        <x:v>2.5</x:v>
      </x:c>
      <x:c r="G40" s="35" t="n">
        <x:v>4</x:v>
      </x:c>
      <x:c r="H40" s="36" t="n">
        <x:f>ROUND((E40+4*F40+G40)/6,2)</x:f>
        <x:v>2.58</x:v>
      </x:c>
      <x:c r="I40" s="36" t="n">
        <x:f>ROUND((G40-E40)/6,2)</x:f>
        <x:v>0.42</x:v>
      </x:c>
      <x:c r="J40" s="31" t="str">
        <x:v>Analogía: documentación del repositorio</x:v>
      </x:c>
      <x:c r="K40" s="31" t="str">
        <x:v>Pruebas de archivos</x:v>
      </x:c>
    </x:row>
    <x:row r="41" ht="44" hidden="0" customHeight="1">
      <x:c r="A41" s="49" t="str">
        <x:v>Total</x:v>
      </x:c>
      <x:c r="B41" s="50" t="str">
        <x:v>TOTAL</x:v>
      </x:c>
      <x:c r="C41" s="51" t="str">
        <x:v>Esfuerzo total estimado</x:v>
      </x:c>
      <x:c r="D41" s="51" t="str">
        <x:v>Suma de requisitos sin duplicar tareas ni subtareas</x:v>
      </x:c>
      <x:c r="E41" s="52" t="n">
        <x:f>ROUND(E8+E21+E31,2)</x:f>
        <x:v>41.5</x:v>
      </x:c>
      <x:c r="F41" s="52" t="n">
        <x:f>ROUND(F8+F21+F31,2)</x:f>
        <x:v>68.5</x:v>
      </x:c>
      <x:c r="G41" s="52" t="n">
        <x:f>ROUND(G8+G21+G31,2)</x:f>
        <x:v>115</x:v>
      </x:c>
      <x:c r="H41" s="52" t="n">
        <x:f>ROUND(H8+H21+H31,2)</x:f>
        <x:v>71.76</x:v>
      </x:c>
      <x:c r="I41" s="52" t="n">
        <x:f>ROUND(SQRT(I8^2+I21^2+I31^2),2)</x:f>
        <x:v>2.83</x:v>
      </x:c>
      <x:c r="J41" s="51" t="str">
        <x:v>Agregado de requisitos</x:v>
      </x:c>
      <x:c r="K41" s="53" t="str">
        <x:v>Requisitos del alcance</x:v>
      </x:c>
    </x:row>
  </x:sheetData>
  <x:conditionalFormatting sqref="I8:I41">
    <x:cfRule type="cellIs" dxfId="0" priority="1" operator="greaterThan">
      <x:formula>1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EEE6F7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4" hidden="0" customWidth="1"/>
    <x:col min="2" max="2" width="58" hidden="0" customWidth="1"/>
    <x:col min="3" max="3" width="35" hidden="0" customWidth="1"/>
    <x:col min="4" max="4" width="48" hidden="0" customWidth="1"/>
    <x:col min="5" max="5" width="17" hidden="0" customWidth="1"/>
  </x:cols>
  <x:sheetData>
    <x:row r="1">
      <x:c r="A1" s="16"/>
      <x:c r="B1" s="16"/>
      <x:c r="C1" s="16"/>
      <x:c r="D1" s="16"/>
      <x:c r="E1" s="16"/>
    </x:row>
    <x:row r="2">
      <x:c r="A2" s="54" t="str">
        <x:v>Supuestos - Importación del banco de preguntas</x:v>
      </x:c>
      <x:c r="B2" s="54"/>
      <x:c r="C2" s="54"/>
      <x:c r="D2" s="54"/>
      <x:c r="E2" s="54"/>
    </x:row>
    <x:row r="3">
      <x:c r="A3" s="55" t="str">
        <x:v>Registrar y confirmar los supuestos antes de convertir el esfuerzo en una fecha de entrega.</x:v>
      </x:c>
      <x:c r="B3" s="55"/>
      <x:c r="C3" s="55"/>
      <x:c r="D3" s="55"/>
      <x:c r="E3" s="55"/>
    </x:row>
    <x:row r="4">
      <x:c r="A4" s="58" t="str">
        <x:v>Por validar</x:v>
      </x:c>
      <x:c r="B4" s="59" t="n">
        <x:f>COUNTIFS(E8:E13,"Por validar")</x:f>
        <x:v>5</x:v>
      </x:c>
      <x:c r="C4" s="16"/>
      <x:c r="D4" s="16"/>
      <x:c r="E4" s="16"/>
    </x:row>
    <x:row r="5">
      <x:c r="A5" s="16"/>
      <x:c r="B5" s="16"/>
      <x:c r="C5" s="16"/>
      <x:c r="D5" s="16"/>
      <x:c r="E5" s="16"/>
    </x:row>
    <x:row r="6">
      <x:c r="A6" s="16"/>
      <x:c r="B6" s="16"/>
      <x:c r="C6" s="16"/>
      <x:c r="D6" s="16"/>
      <x:c r="E6" s="16"/>
    </x:row>
    <x:row r="7" ht="30" customHeight="1">
      <x:c r="A7" s="30" t="str">
        <x:v>ID</x:v>
      </x:c>
      <x:c r="B7" s="30" t="str">
        <x:v>Supuesto</x:v>
      </x:c>
      <x:c r="C7" s="30" t="str">
        <x:v>Elementos afectados</x:v>
      </x:c>
      <x:c r="D7" s="30" t="str">
        <x:v>Si el supuesto es falso</x:v>
      </x:c>
      <x:c r="E7" s="30" t="str">
        <x:v>Estado</x:v>
      </x:c>
    </x:row>
    <x:row r="8" ht="48" customHeight="1">
      <x:c r="A8" s="39" t="str">
        <x:v>S1</x:v>
      </x:c>
      <x:c r="B8" s="31" t="str">
        <x:v>La primera fila de cada archivo contiene encabezados.</x:v>
      </x:c>
      <x:c r="C8" s="31" t="str">
        <x:v>Plantilla y parsers</x:v>
      </x:c>
      <x:c r="D8" s="31" t="str">
        <x:v>Añadir detección o selección manual de fila.</x:v>
      </x:c>
      <x:c r="E8" s="68" t="str">
        <x:v>Por validar</x:v>
      </x:c>
    </x:row>
    <x:row r="9" ht="48" customHeight="1">
      <x:c r="A9" s="39" t="str">
        <x:v>S2</x:v>
      </x:c>
      <x:c r="B9" s="31" t="str">
        <x:v>El XLSX usa una hoja llamada Preguntas y no contiene macros.</x:v>
      </x:c>
      <x:c r="C9" s="31" t="str">
        <x:v>Lectura XLSX</x:v>
      </x:c>
      <x:c r="D9" s="31" t="str">
        <x:v>Permitir seleccionar hoja o rechazar con guía.</x:v>
      </x:c>
      <x:c r="E9" s="68" t="str">
        <x:v>Por validar</x:v>
      </x:c>
    </x:row>
    <x:row r="10" ht="48" customHeight="1">
      <x:c r="A10" s="39" t="str">
        <x:v>S3</x:v>
      </x:c>
      <x:c r="B10" s="31" t="str">
        <x:v>El límite inicial será 5 MB y 500 filas por importación.</x:v>
      </x:c>
      <x:c r="C10" s="31" t="str">
        <x:v>Carga y validación</x:v>
      </x:c>
      <x:c r="D10" s="31" t="str">
        <x:v>Ajustar límites y ejecutar prueba de rendimiento.</x:v>
      </x:c>
      <x:c r="E10" s="68" t="str">
        <x:v>Por validar</x:v>
      </x:c>
    </x:row>
    <x:row r="11" ht="48" customHeight="1">
      <x:c r="A11" s="39" t="str">
        <x:v>S4</x:v>
      </x:c>
      <x:c r="B11" s="31" t="str">
        <x:v>La confirmación del lote será todo o nada.</x:v>
      </x:c>
      <x:c r="C11" s="31" t="str">
        <x:v>Persistencia transaccional</x:v>
      </x:c>
      <x:c r="D11" s="31" t="str">
        <x:v>Diseñar aceptación parcial y recuperación.</x:v>
      </x:c>
      <x:c r="E11" s="68" t="str">
        <x:v>Por validar</x:v>
      </x:c>
    </x:row>
    <x:row r="12" ht="48" customHeight="1">
      <x:c r="A12" s="39" t="str">
        <x:v>S5</x:v>
      </x:c>
      <x:c r="B12" s="31" t="str">
        <x:v>Las universidades se pueden resolver por identificador o slug existente.</x:v>
      </x:c>
      <x:c r="C12" s="31" t="str">
        <x:v>Metadatos del banco</x:v>
      </x:c>
      <x:c r="D12" s="31" t="str">
        <x:v>Añadir interfaz de mapeo manual.</x:v>
      </x:c>
      <x:c r="E12" s="68" t="str">
        <x:v>Confirmado</x:v>
      </x:c>
    </x:row>
    <x:row r="13" ht="48" customHeight="1">
      <x:c r="A13" s="40" t="str">
        <x:v>S6</x:v>
      </x:c>
      <x:c r="B13" s="41" t="str">
        <x:v>La exportación respeta los filtros activos de la pantalla docente.</x:v>
      </x:c>
      <x:c r="C13" s="41" t="str">
        <x:v>Exportación CSV/XLSX</x:v>
      </x:c>
      <x:c r="D13" s="41" t="str">
        <x:v>Agregar selector de alcance antes de exportar.</x:v>
      </x:c>
      <x:c r="E13" s="69" t="str">
        <x:v>Por validar</x:v>
      </x:c>
    </x:row>
  </x:sheetData>
  <x:conditionalFormatting sqref="E8:E13">
    <x:cfRule type="containsText" dxfId="1" priority="1" operator="containsText" text="Confirmado"/>
    <x:cfRule type="containsText" dxfId="2" priority="2" operator="containsText" text="Descartado"/>
  </x:conditionalFormatting>
  <x:dataValidations count="1">
    <x:dataValidation type="list" sqref="E8:E13">
      <x:formula1>"Por validar,Confirmado,Descartado"</x:formula1>
    </x:dataValidation>
  </x:dataValidations>
  <x:pageMargins left="0.7" right="0.7" top="0.75" bottom="0.75" header="0.3" footer="0.3"/>
</x:worksheet>
</file>